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Plan" sheetId="2" state="visible" r:id="rId4"/>
    <sheet name="Daily Update" sheetId="3" state="visible" r:id="rId5"/>
    <sheet name="How to Use" sheetId="4" state="visible" r:id="rId6"/>
  </sheets>
  <definedNames>
    <definedName function="false" hidden="false" localSheetId="2" name="_xlnm.Print_Titles" vbProcedure="false">'Daily Update'!$4:$4</definedName>
    <definedName function="false" hidden="true" localSheetId="2" name="_xlnm._FilterDatabase" vbProcedure="false">'Daily Update'!$A$4:$H$200</definedName>
    <definedName function="false" hidden="false" localSheetId="1" name="_xlnm.Print_Titles" vbProcedure="false">Plan!$5:$5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<sst xmlns="http://schemas.openxmlformats.org/spreadsheetml/2006/main" count="291" uniqueCount="205">
  <si>
    <t xml:space="preserve">Synapse AI: Progress Dashboard</t>
  </si>
  <si>
    <t xml:space="preserve">Life Care Diagnostics | Synapse AI R&amp;D / Proof of Concept only | Synthetic data only, no real patient data</t>
  </si>
  <si>
    <t xml:space="preserve">Report date (as of)</t>
  </si>
  <si>
    <t xml:space="preserve">Prepared by</t>
  </si>
  <si>
    <t xml:space="preserve">Tejaswi Gawai, IT Software &amp; Application Specialist</t>
  </si>
  <si>
    <t xml:space="preserve">Overall status (RAG)</t>
  </si>
  <si>
    <t xml:space="preserve">Amber</t>
  </si>
  <si>
    <t xml:space="preserve">Summary for this update</t>
  </si>
  <si>
    <t xml:space="preserve">Baseline extractor, tests and documentation are organised and committed locally (10 of 10 tests; 17 of 17 files on known synthetic layouts, preliminary). GitHub push is pending authentication. Next: push, strengthen validation, cross-check the answer key, then research OCR and LLM options. LLM and OCR work also waits on hardware and API-budget decisions.</t>
  </si>
  <si>
    <t xml:space="preserve">Total tasks</t>
  </si>
  <si>
    <t xml:space="preserve">Done</t>
  </si>
  <si>
    <t xml:space="preserve">In progress</t>
  </si>
  <si>
    <t xml:space="preserve">Not started</t>
  </si>
  <si>
    <t xml:space="preserve">Blocked / hold</t>
  </si>
  <si>
    <t xml:space="preserve">Overall % done</t>
  </si>
  <si>
    <t xml:space="preserve">Progress by phase</t>
  </si>
  <si>
    <t xml:space="preserve">Phase</t>
  </si>
  <si>
    <t xml:space="preserve">Start</t>
  </si>
  <si>
    <t xml:space="preserve">Target End</t>
  </si>
  <si>
    <t xml:space="preserve">% Complete</t>
  </si>
  <si>
    <t xml:space="preserve">Status</t>
  </si>
  <si>
    <t xml:space="preserve">Tasks done</t>
  </si>
  <si>
    <t xml:space="preserve">Decisions and approvals needed</t>
  </si>
  <si>
    <t xml:space="preserve">Decision / approval</t>
  </si>
  <si>
    <t xml:space="preserve">Needed from</t>
  </si>
  <si>
    <t xml:space="preserve">Remarks</t>
  </si>
  <si>
    <t xml:space="preserve">Development machine upgrade (or a shared development machine)</t>
  </si>
  <si>
    <t xml:space="preserve">Manager</t>
  </si>
  <si>
    <t xml:space="preserve">Open</t>
  </si>
  <si>
    <t xml:space="preserve">Current laptop: 8 GB RAM, limited disk.</t>
  </si>
  <si>
    <t xml:space="preserve">LLM API budget with a monthly spending cap</t>
  </si>
  <si>
    <t xml:space="preserve">Cloud LLM is the likely route for the next phase.</t>
  </si>
  <si>
    <t xml:space="preserve">Data policy: may real patient data go to an external LLM, or stay in-house?</t>
  </si>
  <si>
    <t xml:space="preserve">Management / Compliance</t>
  </si>
  <si>
    <t xml:space="preserve">Synthetic data only until decided.</t>
  </si>
  <si>
    <t xml:space="preserve">Nominate a clinician to review extracted data and AI output</t>
  </si>
  <si>
    <t xml:space="preserve">Management</t>
  </si>
  <si>
    <t xml:space="preserve">Which date drives a patient timeline: collected, registered or reported?</t>
  </si>
  <si>
    <t xml:space="preserve">Clinical / Operations</t>
  </si>
  <si>
    <t xml:space="preserve">Source reports use different date labels.</t>
  </si>
  <si>
    <t xml:space="preserve">Blue text on light-blue cells = type here. Everything else updates from the Plan sheet. Figures from the baseline evaluation are on known synthetic layouts and are not an accuracy estimate for real reports.</t>
  </si>
  <si>
    <t xml:space="preserve">Synapse AI: Project Plan and Gantt</t>
  </si>
  <si>
    <t xml:space="preserve">Indicative schedule (one developer, part-time, excluding holidays and leave). Dates are estimates pending management approval and move as decisions arrive.</t>
  </si>
  <si>
    <t xml:space="preserve">Gantt starts on (Monday):</t>
  </si>
  <si>
    <t xml:space="preserve">Today:</t>
  </si>
  <si>
    <t xml:space="preserve">Planned</t>
  </si>
  <si>
    <t xml:space="preserve">Blocked</t>
  </si>
  <si>
    <t xml:space="preserve">On hold</t>
  </si>
  <si>
    <t xml:space="preserve">Current week</t>
  </si>
  <si>
    <t xml:space="preserve">ID</t>
  </si>
  <si>
    <t xml:space="preserve">Task</t>
  </si>
  <si>
    <t xml:space="preserve">Owner</t>
  </si>
  <si>
    <t xml:space="preserve">Start Date</t>
  </si>
  <si>
    <t xml:space="preserve">Work Days</t>
  </si>
  <si>
    <t xml:space="preserve">% Done</t>
  </si>
  <si>
    <t xml:space="preserve">Actual Completion</t>
  </si>
  <si>
    <t xml:space="preserve">Remarks / Evidence</t>
  </si>
  <si>
    <t xml:space="preserve">P0</t>
  </si>
  <si>
    <t xml:space="preserve">PHASE 0: Requirements and Design</t>
  </si>
  <si>
    <t xml:space="preserve">0.1</t>
  </si>
  <si>
    <t xml:space="preserve">R&amp;D requirement study and system flow report</t>
  </si>
  <si>
    <t xml:space="preserve">Tejaswi</t>
  </si>
  <si>
    <t xml:space="preserve">Report and flowchart delivered (file dated 02/10/2026).</t>
  </si>
  <si>
    <t xml:space="preserve">0.2</t>
  </si>
  <si>
    <t xml:space="preserve">Clickable wireframe (six screens)</t>
  </si>
  <si>
    <t xml:space="preserve">Dashboard, Upload, Review, Library, Timeline, AI Assistant. Synthetic data only.</t>
  </si>
  <si>
    <t xml:space="preserve">P1</t>
  </si>
  <si>
    <t xml:space="preserve">PHASE 1: Baseline POC (rule-based)</t>
  </si>
  <si>
    <t xml:space="preserve">1.1</t>
  </si>
  <si>
    <t xml:space="preserve">Workspace audit</t>
  </si>
  <si>
    <t xml:space="preserve">PROJECT_STATUS.md created.</t>
  </si>
  <si>
    <t xml:space="preserve">1.2</t>
  </si>
  <si>
    <t xml:space="preserve">Define structured data schema</t>
  </si>
  <si>
    <t xml:space="preserve">schema.py and schema.md.</t>
  </si>
  <si>
    <t xml:space="preserve">1.3</t>
  </si>
  <si>
    <t xml:space="preserve">Synthetic test set and answer key (10 text, 5 PDF, 2 incomplete files)</t>
  </si>
  <si>
    <t xml:space="preserve">Answer key was drafted by AI; full cross-check is task 2.1.</t>
  </si>
  <si>
    <t xml:space="preserve">1.4</t>
  </si>
  <si>
    <t xml:space="preserve">Document readers (text and digital PDF)</t>
  </si>
  <si>
    <t xml:space="preserve">4 of 4 reader tests passed.</t>
  </si>
  <si>
    <t xml:space="preserve">1.5</t>
  </si>
  <si>
    <t xml:space="preserve">Rule-based extractor, validation and JSON output</t>
  </si>
  <si>
    <t xml:space="preserve">10 of 10 tests passed; 17 JSON files saved.</t>
  </si>
  <si>
    <t xml:space="preserve">1.6</t>
  </si>
  <si>
    <t xml:space="preserve">Evaluation on synthetic set</t>
  </si>
  <si>
    <t xml:space="preserve">17 of 17 files, 352 of 352 checked fields on known layouts. Optimistic: built on the same documents.</t>
  </si>
  <si>
    <t xml:space="preserve">1.7</t>
  </si>
  <si>
    <t xml:space="preserve">Source control: GitHub organisation and repository</t>
  </si>
  <si>
    <t xml:space="preserve">In Progress</t>
  </si>
  <si>
    <t xml:space="preserve">Repo structure, .gitignore, .env.example and local-path handling done; committed on main, remote set. GitHub authentication and push pending.</t>
  </si>
  <si>
    <t xml:space="preserve">P2</t>
  </si>
  <si>
    <t xml:space="preserve">PHASE 2: Validate and harden the baseline</t>
  </si>
  <si>
    <t xml:space="preserve">2.1</t>
  </si>
  <si>
    <t xml:space="preserve">Cross-check answer key against all source files</t>
  </si>
  <si>
    <t xml:space="preserve">Not Started</t>
  </si>
  <si>
    <t xml:space="preserve">Verification script prepared.</t>
  </si>
  <si>
    <t xml:space="preserve">2.2</t>
  </si>
  <si>
    <t xml:space="preserve">Test on unseen report layouts</t>
  </si>
  <si>
    <t xml:space="preserve">Expected to reveal failures; this is the honest accuracy picture.</t>
  </si>
  <si>
    <t xml:space="preserve">2.3</t>
  </si>
  <si>
    <t xml:space="preserve">Fix failures and re-evaluate</t>
  </si>
  <si>
    <t xml:space="preserve">2.4</t>
  </si>
  <si>
    <t xml:space="preserve">README, setup guide and security notes</t>
  </si>
  <si>
    <t xml:space="preserve">README and project docs (scope, architecture, schema, evaluation, setup, roadmap) done. Security notes still to be added.</t>
  </si>
  <si>
    <t xml:space="preserve">2.5</t>
  </si>
  <si>
    <t xml:space="preserve">Strengthen validation logic (unrecognised tests, missing units, ambiguous values, error flagging)</t>
  </si>
  <si>
    <t xml:space="preserve">Confidence thresholds apply once an LLM extractor exists; the rule-based baseline has no confidence score.</t>
  </si>
  <si>
    <t xml:space="preserve">P3</t>
  </si>
  <si>
    <t xml:space="preserve">PHASE 3: LLM extraction</t>
  </si>
  <si>
    <t xml:space="preserve">3.1</t>
  </si>
  <si>
    <t xml:space="preserve">Development machine upgrade (or shared machine)</t>
  </si>
  <si>
    <t xml:space="preserve">Request prepared; update when sent or approved. Needed before local models or OCR.</t>
  </si>
  <si>
    <t xml:space="preserve">3.2</t>
  </si>
  <si>
    <t xml:space="preserve">LLM API budget and data-policy decision</t>
  </si>
  <si>
    <t xml:space="preserve">Real patient data must not go to an external LLM until approved.</t>
  </si>
  <si>
    <t xml:space="preserve">3.3</t>
  </si>
  <si>
    <t xml:space="preserve">Choose approach: cloud API vs local open-source model</t>
  </si>
  <si>
    <t xml:space="preserve">Depends on 3.1 and 3.2.</t>
  </si>
  <si>
    <t xml:space="preserve">3.4</t>
  </si>
  <si>
    <t xml:space="preserve">Implement LLM extractor behind the existing interface</t>
  </si>
  <si>
    <t xml:space="preserve">3.5</t>
  </si>
  <si>
    <t xml:space="preserve">Benchmark LLM vs baseline (accuracy, speed, cost)</t>
  </si>
  <si>
    <t xml:space="preserve">Include the unseen-layout set.</t>
  </si>
  <si>
    <t xml:space="preserve">P4</t>
  </si>
  <si>
    <t xml:space="preserve">PHASE 4: OCR for scanned reports</t>
  </si>
  <si>
    <t xml:space="preserve">4.1</t>
  </si>
  <si>
    <t xml:space="preserve">Select OCR tool suited to the hardware</t>
  </si>
  <si>
    <t xml:space="preserve">4.2</t>
  </si>
  <si>
    <t xml:space="preserve">Integrate OCR and test on scan-like samples</t>
  </si>
  <si>
    <t xml:space="preserve">P5</t>
  </si>
  <si>
    <t xml:space="preserve">PHASE 5: Application build</t>
  </si>
  <si>
    <t xml:space="preserve">5.1</t>
  </si>
  <si>
    <t xml:space="preserve">Database and upload API</t>
  </si>
  <si>
    <t xml:space="preserve">5.2</t>
  </si>
  <si>
    <t xml:space="preserve">Review screen</t>
  </si>
  <si>
    <t xml:space="preserve">Human check of extracted values against the original.</t>
  </si>
  <si>
    <t xml:space="preserve">5.3</t>
  </si>
  <si>
    <t xml:space="preserve">Report library and search</t>
  </si>
  <si>
    <t xml:space="preserve">5.4</t>
  </si>
  <si>
    <t xml:space="preserve">Patient timeline</t>
  </si>
  <si>
    <t xml:space="preserve">Needs a decision on which date to use (collected, registered or reported).</t>
  </si>
  <si>
    <t xml:space="preserve">5.5</t>
  </si>
  <si>
    <t xml:space="preserve">AI summary with source citations</t>
  </si>
  <si>
    <t xml:space="preserve">P6</t>
  </si>
  <si>
    <t xml:space="preserve">PHASE 6: Test, review and demo</t>
  </si>
  <si>
    <t xml:space="preserve">6.1</t>
  </si>
  <si>
    <t xml:space="preserve">End-to-end testing and bug fixes</t>
  </si>
  <si>
    <t xml:space="preserve">6.2</t>
  </si>
  <si>
    <t xml:space="preserve">Clinician review of extracted data and AI output</t>
  </si>
  <si>
    <t xml:space="preserve">Clinical reviewer</t>
  </si>
  <si>
    <t xml:space="preserve">A reviewer needs to be nominated.</t>
  </si>
  <si>
    <t xml:space="preserve">6.3</t>
  </si>
  <si>
    <t xml:space="preserve">Leadership demo and documentation</t>
  </si>
  <si>
    <t xml:space="preserve">6.4</t>
  </si>
  <si>
    <t xml:space="preserve">Decision gate: security and compliance review before any real data</t>
  </si>
  <si>
    <t xml:space="preserve">No real patient data until this is cleared.</t>
  </si>
  <si>
    <t xml:space="preserve">Daily Update Log</t>
  </si>
  <si>
    <t xml:space="preserve">One row per task worked on each day. Pick the Task ID and the task name fills in. Mark whether it was done today, and note what was not done.</t>
  </si>
  <si>
    <t xml:space="preserve">Date</t>
  </si>
  <si>
    <t xml:space="preserve">Task ID</t>
  </si>
  <si>
    <t xml:space="preserve">Task (auto)</t>
  </si>
  <si>
    <t xml:space="preserve">Done today?</t>
  </si>
  <si>
    <t xml:space="preserve">What was done</t>
  </si>
  <si>
    <t xml:space="preserve">What was not done / blocker</t>
  </si>
  <si>
    <t xml:space="preserve">Plan for next day</t>
  </si>
  <si>
    <t xml:space="preserve">Evidence / link</t>
  </si>
  <si>
    <t xml:space="preserve">Yes</t>
  </si>
  <si>
    <t xml:space="preserve">R&amp;D requirement and system flow report prepared.</t>
  </si>
  <si>
    <t xml:space="preserve">Six-screen clickable wireframe built.</t>
  </si>
  <si>
    <t xml:space="preserve">Workspace audit completed; PROJECT_STATUS.md created.</t>
  </si>
  <si>
    <t xml:space="preserve">Structured data schema defined (schema.py, schema.md).</t>
  </si>
  <si>
    <t xml:space="preserve">10 text files, 5 PDFs and 2 incomplete files prepared, with an answer key.</t>
  </si>
  <si>
    <t xml:space="preserve">Answer key not yet cross-checked against all source files.</t>
  </si>
  <si>
    <t xml:space="preserve">Text and digital PDF readers built; 4 of 4 tests passed.</t>
  </si>
  <si>
    <t xml:space="preserve">Rule-based extractor and validator built; 10 of 10 tests passed; 17 JSON files saved.</t>
  </si>
  <si>
    <t xml:space="preserve">Evaluation run: 17 of 17 files, 352 of 352 checked fields on known layouts.</t>
  </si>
  <si>
    <t xml:space="preserve">Unseen layouts not tested yet.</t>
  </si>
  <si>
    <t xml:space="preserve">Cross-check answer key; test unseen layouts.</t>
  </si>
  <si>
    <t xml:space="preserve">Partly</t>
  </si>
  <si>
    <t xml:space="preserve">Repository structure organised; .gitignore and .env.example added; synthetic inputs, PDFs, ground truth and edge-case fixtures consolidated in the repo; path handling updated with fallback to the old workspace; remote configured; committed on main (working tree clean).</t>
  </si>
  <si>
    <t xml:space="preserve">GitHub authentication and push to the private repository pending.</t>
  </si>
  <si>
    <t xml:space="preserve">Authenticate, push, and confirm the files are visible on GitHub.</t>
  </si>
  <si>
    <t xml:space="preserve">README and project documentation written: scope, architecture, schema, evaluation results, setup and roadmap.</t>
  </si>
  <si>
    <t xml:space="preserve">Security notes still to be added.</t>
  </si>
  <si>
    <t xml:space="preserve">Add security notes; review docs once.</t>
  </si>
  <si>
    <t xml:space="preserve">Re-ran tests and benchmark after the restructure: 10 of 10 tests passed; 17 of 17 files and 352 of 352 fields matched the ground truth. Preliminary synthetic result, not independently validated.</t>
  </si>
  <si>
    <t xml:space="preserve">Answer key not yet fully cross-checked against source files (task 2.1).</t>
  </si>
  <si>
    <t xml:space="preserve">Strengthen validation logic; cross-check answer key.</t>
  </si>
  <si>
    <t xml:space="preserve">How to use this tracker</t>
  </si>
  <si>
    <t xml:space="preserve">Scope: this tracker covers the Synapse AI project only. Other work is tracked separately.</t>
  </si>
  <si>
    <t xml:space="preserve">Daily (about 2 minutes)</t>
  </si>
  <si>
    <t xml:space="preserve">1. Daily Update sheet: add a row for each task you worked on. Pick the Task ID, set 'Done today?' to Yes, Partly or No, and write what was not done or what is blocking it.</t>
  </si>
  <si>
    <t xml:space="preserve">2. Plan sheet: update Status and % Done for tasks that changed. When a task finishes, set Status to Done, % Done to 100% and fill in Actual Completion.</t>
  </si>
  <si>
    <t xml:space="preserve">3. Dashboard: update the report date, the overall status (Green, Amber or Red) and the one-paragraph summary. Everything else updates itself.</t>
  </si>
  <si>
    <t xml:space="preserve">4. Save with the date in the file name (for example Synapse_Progress_2026-10-28.xlsx) before emailing it.</t>
  </si>
  <si>
    <t xml:space="preserve">Reading the Gantt chart (Plan sheet)</t>
  </si>
  <si>
    <t xml:space="preserve">Each column is one week, starting on the Monday in cell C3. Bars show the Start Date to Target End of each task. Green = done, amber = in progress, blue = planned, red = blocked, grey = on hold. The red week header and pale yellow column mark the current week.</t>
  </si>
  <si>
    <t xml:space="preserve">A Target End date turns red when the task is overdue and not Done.</t>
  </si>
  <si>
    <t xml:space="preserve">Which cells to edit</t>
  </si>
  <si>
    <t xml:space="preserve">Dashboard: blue text on light-blue cells. Plan: ID, Task, Owner, dates, Status, % Done, Actual Completion and Remarks. Phase rows (dark blue) and the Work Days column calculate themselves. Daily Update: every column except 'Task (auto)'.</t>
  </si>
  <si>
    <t xml:space="preserve">To add a task, insert a row inside a phase (right-click a row number, then Insert) and copy the formatting from the row above. Dates in the Gantt come from the Start Date and Target End columns.</t>
  </si>
  <si>
    <t xml:space="preserve">Assumptions and sources</t>
  </si>
  <si>
    <t xml:space="preserve">Completed tasks and their dates come from the user's own work and file dates (reports 02/10/2026, POC work 22/10/2026, GitHub setup 28/10/2026). Please correct any date that is wrong.</t>
  </si>
  <si>
    <t xml:space="preserve">Planned dates and the order of phases are a proposal for discussion. They assume one developer working part-time, no holidays, and hardware and API-budget decisions arriving by early November. They are not approved commitments.</t>
  </si>
  <si>
    <t xml:space="preserve">The 17 of 17 evaluation result is on known synthetic layouts and is not an accuracy estimate for real reports. All data used is synthetic.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</si>
</sst>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0"/>
    <numFmt numFmtId="167" formatCode="0%"/>
    <numFmt numFmtId="168" formatCode="dd\-mmm"/>
    <numFmt numFmtId="169" formatCode="@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A5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20"/>
      <color rgb="FF1F3A5F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6"/>
      <color rgb="FF1F3A5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8"/>
      <color rgb="FF00000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EAF1F8"/>
        <bgColor rgb="FFF5F7FA"/>
      </patternFill>
    </fill>
    <fill>
      <patternFill patternType="solid">
        <fgColor rgb="FF1F3A5F"/>
        <bgColor rgb="FF404040"/>
      </patternFill>
    </fill>
    <fill>
      <patternFill patternType="solid">
        <fgColor rgb="FFF5F7FA"/>
        <bgColor rgb="FFF9F9F9"/>
      </patternFill>
    </fill>
    <fill>
      <patternFill patternType="solid">
        <fgColor rgb="FF70AD47"/>
        <bgColor rgb="FF878787"/>
      </patternFill>
    </fill>
    <fill>
      <patternFill patternType="solid">
        <fgColor rgb="FFFFC000"/>
        <bgColor rgb="FFFF9900"/>
      </patternFill>
    </fill>
    <fill>
      <patternFill patternType="solid">
        <fgColor rgb="FF9DC3E6"/>
        <bgColor rgb="FFBFC7D1"/>
      </patternFill>
    </fill>
    <fill>
      <patternFill patternType="solid">
        <fgColor rgb="FFE06666"/>
        <bgColor rgb="FFFF6600"/>
      </patternFill>
    </fill>
    <fill>
      <patternFill patternType="solid">
        <fgColor rgb="FFA6A6A6"/>
        <bgColor rgb="FF878787"/>
      </patternFill>
    </fill>
    <fill>
      <patternFill patternType="solid">
        <fgColor rgb="FFFFF2CC"/>
        <bgColor rgb="FFFCE4D6"/>
      </patternFill>
    </fill>
    <fill>
      <patternFill patternType="solid">
        <fgColor rgb="FF2F5486"/>
        <bgColor rgb="FF1F3A5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C7D1"/>
      </left>
      <right style="thin">
        <color rgb="FFBFC7D1"/>
      </right>
      <top style="thin">
        <color rgb="FFBFC7D1"/>
      </top>
      <bottom style="thin">
        <color rgb="FFBFC7D1"/>
      </bottom>
      <diagonal/>
    </border>
    <border diagonalUp="false" diagonalDown="false">
      <left style="thin">
        <color rgb="FFBFC7D1"/>
      </left>
      <right/>
      <top style="thin">
        <color rgb="FFBFC7D1"/>
      </top>
      <bottom style="thin">
        <color rgb="FFBFC7D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8" fillId="3" borderId="0" xfId="0" applyFont="true" applyBorder="false" applyAlignment="true" applyProtection="false">
      <alignment horizontal="center" vertical="center" textRotation="9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1"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7F600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404040"/>
      </font>
      <fill>
        <patternFill>
          <bgColor rgb="FFE7E6E6"/>
        </patternFill>
      </fill>
    </dxf>
    <dxf>
      <font>
        <name val="Arial"/>
        <charset val="1"/>
        <family val="0"/>
        <b val="1"/>
        <color rgb="FF833C0B"/>
      </font>
      <fill>
        <patternFill>
          <bgColor rgb="FFFCE4D6"/>
        </patternFill>
      </fill>
    </dxf>
    <dxf>
      <fill>
        <patternFill>
          <bgColor rgb="FF1F3A5F"/>
        </patternFill>
      </fill>
    </dxf>
    <dxf>
      <fill>
        <patternFill>
          <bgColor rgb="FF70AD47"/>
        </patternFill>
      </fill>
    </dxf>
    <dxf>
      <fill>
        <patternFill>
          <bgColor rgb="FFE06666"/>
        </patternFill>
      </fill>
    </dxf>
    <dxf>
      <fill>
        <patternFill>
          <bgColor rgb="FFFFC000"/>
        </patternFill>
      </fill>
    </dxf>
    <dxf>
      <fill>
        <patternFill>
          <bgColor rgb="FFA6A6A6"/>
        </patternFill>
      </fill>
    </dxf>
    <dxf>
      <fill>
        <patternFill>
          <bgColor rgb="FF9DC3E6"/>
        </patternFill>
      </fill>
    </dxf>
    <dxf>
      <fill>
        <patternFill>
          <bgColor rgb="FFFFF2CC"/>
        </patternFill>
      </fill>
    </dxf>
    <dxf>
      <fill>
        <patternFill>
          <bgColor rgb="FFC00000"/>
        </patternFill>
      </fill>
    </dxf>
    <dxf>
      <font>
        <name val="Arial"/>
        <charset val="1"/>
        <family val="0"/>
        <b val="1"/>
        <color rgb="FFC00000"/>
      </font>
      <fill>
        <patternFill>
          <bgColor rgb="FFFFC7CE"/>
        </patternFill>
      </fill>
    </dxf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7F6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9F9F9"/>
      <rgbColor rgb="FFFF00FF"/>
      <rgbColor rgb="FF00FFFF"/>
      <rgbColor rgb="FF9C0006"/>
      <rgbColor rgb="FF006100"/>
      <rgbColor rgb="FF000080"/>
      <rgbColor rgb="FF7F6000"/>
      <rgbColor rgb="FF800080"/>
      <rgbColor rgb="FF008080"/>
      <rgbColor rgb="FFBFC7D1"/>
      <rgbColor rgb="FF878787"/>
      <rgbColor rgb="FF5B9BD5"/>
      <rgbColor rgb="FF993366"/>
      <rgbColor rgb="FFFFF2CC"/>
      <rgbColor rgb="FFEAF1F8"/>
      <rgbColor rgb="FF660066"/>
      <rgbColor rgb="FFE06666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7FA"/>
      <rgbColor rgb="FFC6EFCE"/>
      <rgbColor rgb="FFFFEB9C"/>
      <rgbColor rgb="FF9DC3E6"/>
      <rgbColor rgb="FFFCE4D6"/>
      <rgbColor rgb="FFE7E6E6"/>
      <rgbColor rgb="FFFFC7CE"/>
      <rgbColor rgb="FF3366FF"/>
      <rgbColor rgb="FF33CCCC"/>
      <rgbColor rgb="FF99CC00"/>
      <rgbColor rgb="FFFFC000"/>
      <rgbColor rgb="FFFF9900"/>
      <rgbColor rgb="FFFF6600"/>
      <rgbColor rgb="FF555555"/>
      <rgbColor rgb="FFA6A6A6"/>
      <rgbColor rgb="FF1F3A5F"/>
      <rgbColor rgb="FF70AD47"/>
      <rgbColor rgb="FF003300"/>
      <rgbColor rgb="FF333300"/>
      <rgbColor rgb="FF833C0B"/>
      <rgbColor rgb="FF993366"/>
      <rgbColor rgb="FF2F5486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Phase completion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Dashboard!D13</c:f>
              <c:strCache>
                <c:ptCount val="1"/>
                <c:pt idx="0">
                  <c:v>% Complete</c:v>
                </c:pt>
              </c:strCache>
            </c:strRef>
          </c:tx>
          <c:spPr>
            <a:solidFill>
              <a:srgbClr val="5b9bd5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Dashboard!$A$14:$A$20</c:f>
              <c:strCache>
                <c:ptCount val="7"/>
                <c:pt idx="0">
                  <c:v>PHASE 0: Requirements and Design</c:v>
                </c:pt>
                <c:pt idx="1">
                  <c:v>PHASE 1: Baseline POC (rule-based)</c:v>
                </c:pt>
                <c:pt idx="2">
                  <c:v>PHASE 2: Validate and harden the baseline</c:v>
                </c:pt>
                <c:pt idx="3">
                  <c:v>PHASE 3: LLM extraction</c:v>
                </c:pt>
                <c:pt idx="4">
                  <c:v>PHASE 4: OCR for scanned reports</c:v>
                </c:pt>
                <c:pt idx="5">
                  <c:v>PHASE 5: Application build</c:v>
                </c:pt>
                <c:pt idx="6">
                  <c:v>PHASE 6: Test, review and demo</c:v>
                </c:pt>
              </c:strCache>
            </c:strRef>
          </c:cat>
          <c:val>
            <c:numRef>
              <c:f>Dashboard!$D$14:$D$20</c:f>
              <c:numCache>
                <c:formatCode>0%</c:formatCode>
                <c:ptCount val="7"/>
                <c:pt idx="0">
                  <c:v>1</c:v>
                </c:pt>
                <c:pt idx="1">
                  <c:v>0.971428571428571</c:v>
                </c:pt>
                <c:pt idx="2">
                  <c:v>0.15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gapWidth val="150"/>
        <c:overlap val="0"/>
        <c:axId val="85991778"/>
        <c:axId val="45736287"/>
      </c:barChart>
      <c:catAx>
        <c:axId val="8599177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736287"/>
        <c:crosses val="autoZero"/>
        <c:auto val="1"/>
        <c:lblAlgn val="ctr"/>
        <c:lblOffset val="100"/>
        <c:noMultiLvlLbl val="0"/>
      </c:catAx>
      <c:valAx>
        <c:axId val="45736287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991778"/>
        <c:crosses val="autoZero"/>
        <c:crossBetween val="between"/>
        <c:majorUnit val="0.25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10</xdr:row>
      <xdr:rowOff>101160</xdr:rowOff>
    </xdr:from>
    <xdr:to>
      <xdr:col>16</xdr:col>
      <xdr:colOff>255960</xdr:colOff>
      <xdr:row>27</xdr:row>
      <xdr:rowOff>250560</xdr:rowOff>
    </xdr:to>
    <xdr:graphicFrame>
      <xdr:nvGraphicFramePr>
        <xdr:cNvPr id="0" name="Chart 1"/>
        <xdr:cNvGraphicFramePr/>
      </xdr:nvGraphicFramePr>
      <xdr:xfrm>
        <a:off x="8669520" y="3029040"/>
        <a:ext cx="575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true"/>
  </sheetPr>
  <dimension ref="A1:F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5" min="2" style="0" width="16"/>
    <col collapsed="false" customWidth="true" hidden="false" outlineLevel="0" max="6" min="6" style="0" width="18"/>
    <col collapsed="false" customWidth="true" hidden="false" outlineLevel="0" max="7" min="7" style="0" width="3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true" outlineLevel="0" collapsed="false">
      <c r="A4" s="3" t="s">
        <v>2</v>
      </c>
      <c r="B4" s="4" t="n">
        <v>46323</v>
      </c>
      <c r="C4" s="3" t="s">
        <v>3</v>
      </c>
      <c r="D4" s="5" t="s">
        <v>4</v>
      </c>
      <c r="E4" s="5"/>
      <c r="F4" s="5"/>
    </row>
    <row r="5" customFormat="false" ht="15" hidden="false" customHeight="false" outlineLevel="0" collapsed="false">
      <c r="A5" s="3" t="s">
        <v>5</v>
      </c>
      <c r="B5" s="6" t="s">
        <v>6</v>
      </c>
    </row>
    <row r="6" customFormat="false" ht="66" hidden="false" customHeight="true" outlineLevel="0" collapsed="false">
      <c r="A6" s="3" t="s">
        <v>7</v>
      </c>
      <c r="B6" s="7" t="s">
        <v>8</v>
      </c>
      <c r="C6" s="7"/>
      <c r="D6" s="7"/>
      <c r="E6" s="7"/>
      <c r="F6" s="7"/>
    </row>
    <row r="9" customFormat="false" ht="15" hidden="false" customHeight="false" outlineLevel="0" collapsed="false">
      <c r="A9" s="8" t="s">
        <v>9</v>
      </c>
      <c r="B9" s="8" t="s">
        <v>10</v>
      </c>
      <c r="C9" s="8" t="s">
        <v>11</v>
      </c>
      <c r="D9" s="8" t="s">
        <v>12</v>
      </c>
      <c r="E9" s="8" t="s">
        <v>13</v>
      </c>
      <c r="F9" s="8" t="s">
        <v>14</v>
      </c>
    </row>
    <row r="10" customFormat="false" ht="37.5" hidden="false" customHeight="true" outlineLevel="0" collapsed="false">
      <c r="A10" s="9" t="n">
        <f aca="false">SUMPRODUCT((LEFT(Plan!$A$6:$A$60,1)&lt;&gt;"P")*(Plan!$A$6:$A$60&lt;&gt;""))</f>
        <v>30</v>
      </c>
      <c r="B10" s="9" t="n">
        <f aca="false">SUMPRODUCT((LEFT(Plan!$A$6:$A$60,1)&lt;&gt;"P")*(Plan!$A$6:$A$60&lt;&gt;"")*(Plan!$G$6:$G$60="Done"))</f>
        <v>8</v>
      </c>
      <c r="C10" s="9" t="n">
        <f aca="false">SUMPRODUCT((LEFT(Plan!$A$6:$A$60,1)&lt;&gt;"P")*(Plan!$A$6:$A$60&lt;&gt;"")*(Plan!$G$6:$G$60="In Progress"))</f>
        <v>2</v>
      </c>
      <c r="D10" s="9" t="n">
        <f aca="false">SUMPRODUCT((LEFT(Plan!$A$6:$A$60,1)&lt;&gt;"P")*(Plan!$A$6:$A$60&lt;&gt;"")*(Plan!$G$6:$G$60="Not Started"))</f>
        <v>20</v>
      </c>
      <c r="E10" s="9" t="n">
        <f aca="false">SUMPRODUCT((LEFT(Plan!$A$6:$A$60,1)&lt;&gt;"P")*(Plan!$A$6:$A$60&lt;&gt;"")*((Plan!$G$6:$G$60="Blocked")+(Plan!$G$6:$G$60="On Hold")))</f>
        <v>0</v>
      </c>
      <c r="F10" s="10" t="n">
        <f aca="false">IF(A10=0,0,SUMPRODUCT((LEFT(Plan!$A$6:$A$60,1)&lt;&gt;"P")*(Plan!$A$6:$A$60&lt;&gt;"")*Plan!$H$6:$H$60)/A10)</f>
        <v>0.318333333333333</v>
      </c>
    </row>
    <row r="12" customFormat="false" ht="15" hidden="false" customHeight="false" outlineLevel="0" collapsed="false">
      <c r="A12" s="11" t="s">
        <v>15</v>
      </c>
    </row>
    <row r="13" customFormat="false" ht="15" hidden="false" customHeight="false" outlineLevel="0" collapsed="false">
      <c r="A13" s="12" t="s">
        <v>16</v>
      </c>
      <c r="B13" s="12" t="s">
        <v>17</v>
      </c>
      <c r="C13" s="12" t="s">
        <v>18</v>
      </c>
      <c r="D13" s="12" t="s">
        <v>19</v>
      </c>
      <c r="E13" s="12" t="s">
        <v>20</v>
      </c>
      <c r="F13" s="12" t="s">
        <v>21</v>
      </c>
    </row>
    <row r="14" customFormat="false" ht="15" hidden="false" customHeight="false" outlineLevel="0" collapsed="false">
      <c r="A14" s="13" t="str">
        <f aca="false">Plan!B6</f>
        <v>PHASE 0: Requirements and Design</v>
      </c>
      <c r="B14" s="14" t="n">
        <f aca="false">Plan!D6</f>
        <v>46287</v>
      </c>
      <c r="C14" s="14" t="n">
        <f aca="false">Plan!E6</f>
        <v>46297</v>
      </c>
      <c r="D14" s="15" t="n">
        <f aca="false">Plan!H6</f>
        <v>1</v>
      </c>
      <c r="E14" s="16" t="str">
        <f aca="false">Plan!G6</f>
        <v>Done</v>
      </c>
      <c r="F14" s="16" t="str">
        <f aca="false">COUNTIF(Plan!G7:G8,"Done")&amp;" of "&amp;ROWS(Plan!G7:G8)</f>
        <v>2 of 2</v>
      </c>
    </row>
    <row r="15" customFormat="false" ht="15" hidden="false" customHeight="false" outlineLevel="0" collapsed="false">
      <c r="A15" s="13" t="str">
        <f aca="false">Plan!B9</f>
        <v>PHASE 1: Baseline POC (rule-based)</v>
      </c>
      <c r="B15" s="14" t="n">
        <f aca="false">Plan!D9</f>
        <v>46317</v>
      </c>
      <c r="C15" s="14" t="n">
        <f aca="false">Plan!E9</f>
        <v>46325</v>
      </c>
      <c r="D15" s="15" t="n">
        <f aca="false">Plan!H9</f>
        <v>0.971428571428571</v>
      </c>
      <c r="E15" s="16" t="str">
        <f aca="false">Plan!G9</f>
        <v>In Progress</v>
      </c>
      <c r="F15" s="16" t="str">
        <f aca="false">COUNTIF(Plan!G10:G16,"Done")&amp;" of "&amp;ROWS(Plan!G10:G16)</f>
        <v>6 of 7</v>
      </c>
    </row>
    <row r="16" customFormat="false" ht="15" hidden="false" customHeight="false" outlineLevel="0" collapsed="false">
      <c r="A16" s="13" t="str">
        <f aca="false">Plan!B17</f>
        <v>PHASE 2: Validate and harden the baseline</v>
      </c>
      <c r="B16" s="14" t="n">
        <f aca="false">Plan!D17</f>
        <v>46323</v>
      </c>
      <c r="C16" s="14" t="n">
        <f aca="false">Plan!E17</f>
        <v>46337</v>
      </c>
      <c r="D16" s="15" t="n">
        <f aca="false">Plan!H17</f>
        <v>0.15</v>
      </c>
      <c r="E16" s="16" t="str">
        <f aca="false">Plan!G17</f>
        <v>In Progress</v>
      </c>
      <c r="F16" s="16" t="str">
        <f aca="false">COUNTIF(Plan!G18:G22,"Done")&amp;" of "&amp;ROWS(Plan!G18:G22)</f>
        <v>0 of 5</v>
      </c>
    </row>
    <row r="17" customFormat="false" ht="15" hidden="false" customHeight="false" outlineLevel="0" collapsed="false">
      <c r="A17" s="13" t="str">
        <f aca="false">Plan!B23</f>
        <v>PHASE 3: LLM extraction</v>
      </c>
      <c r="B17" s="14" t="n">
        <f aca="false">Plan!D23</f>
        <v>46323</v>
      </c>
      <c r="C17" s="14" t="n">
        <f aca="false">Plan!E23</f>
        <v>46360</v>
      </c>
      <c r="D17" s="15" t="n">
        <f aca="false">Plan!H23</f>
        <v>0</v>
      </c>
      <c r="E17" s="16" t="str">
        <f aca="false">Plan!G23</f>
        <v>Not Started</v>
      </c>
      <c r="F17" s="16" t="str">
        <f aca="false">COUNTIF(Plan!G24:G28,"Done")&amp;" of "&amp;ROWS(Plan!G24:G28)</f>
        <v>0 of 5</v>
      </c>
    </row>
    <row r="18" customFormat="false" ht="15" hidden="false" customHeight="false" outlineLevel="0" collapsed="false">
      <c r="A18" s="13" t="str">
        <f aca="false">Plan!B29</f>
        <v>PHASE 4: OCR for scanned reports</v>
      </c>
      <c r="B18" s="14" t="n">
        <f aca="false">Plan!D29</f>
        <v>46363</v>
      </c>
      <c r="C18" s="14" t="n">
        <f aca="false">Plan!E29</f>
        <v>46374</v>
      </c>
      <c r="D18" s="15" t="n">
        <f aca="false">Plan!H29</f>
        <v>0</v>
      </c>
      <c r="E18" s="16" t="str">
        <f aca="false">Plan!G29</f>
        <v>Not Started</v>
      </c>
      <c r="F18" s="16" t="str">
        <f aca="false">COUNTIF(Plan!G30:G31,"Done")&amp;" of "&amp;ROWS(Plan!G30:G31)</f>
        <v>0 of 2</v>
      </c>
    </row>
    <row r="19" customFormat="false" ht="15" hidden="false" customHeight="false" outlineLevel="0" collapsed="false">
      <c r="A19" s="13" t="str">
        <f aca="false">Plan!B32</f>
        <v>PHASE 5: Application build</v>
      </c>
      <c r="B19" s="14" t="n">
        <f aca="false">Plan!D32</f>
        <v>46377</v>
      </c>
      <c r="C19" s="14" t="n">
        <f aca="false">Plan!E32</f>
        <v>46416</v>
      </c>
      <c r="D19" s="15" t="n">
        <f aca="false">Plan!H32</f>
        <v>0</v>
      </c>
      <c r="E19" s="16" t="str">
        <f aca="false">Plan!G32</f>
        <v>Not Started</v>
      </c>
      <c r="F19" s="16" t="str">
        <f aca="false">COUNTIF(Plan!G33:G37,"Done")&amp;" of "&amp;ROWS(Plan!G33:G37)</f>
        <v>0 of 5</v>
      </c>
    </row>
    <row r="20" customFormat="false" ht="15" hidden="false" customHeight="false" outlineLevel="0" collapsed="false">
      <c r="A20" s="13" t="str">
        <f aca="false">Plan!B38</f>
        <v>PHASE 6: Test, review and demo</v>
      </c>
      <c r="B20" s="14" t="n">
        <f aca="false">Plan!D38</f>
        <v>46419</v>
      </c>
      <c r="C20" s="14" t="n">
        <f aca="false">Plan!E38</f>
        <v>46437</v>
      </c>
      <c r="D20" s="15" t="n">
        <f aca="false">Plan!H38</f>
        <v>0</v>
      </c>
      <c r="E20" s="16" t="str">
        <f aca="false">Plan!G38</f>
        <v>Not Started</v>
      </c>
      <c r="F20" s="16" t="str">
        <f aca="false">COUNTIF(Plan!G39:G42,"Done")&amp;" of "&amp;ROWS(Plan!G39:G42)</f>
        <v>0 of 4</v>
      </c>
    </row>
    <row r="23" customFormat="false" ht="15" hidden="false" customHeight="false" outlineLevel="0" collapsed="false">
      <c r="A23" s="11" t="s">
        <v>22</v>
      </c>
    </row>
    <row r="24" customFormat="false" ht="15" hidden="false" customHeight="false" outlineLevel="0" collapsed="false">
      <c r="A24" s="12" t="s">
        <v>23</v>
      </c>
      <c r="B24" s="12" t="s">
        <v>24</v>
      </c>
      <c r="C24" s="12"/>
      <c r="D24" s="12" t="s">
        <v>20</v>
      </c>
      <c r="E24" s="12" t="s">
        <v>25</v>
      </c>
      <c r="F24" s="12"/>
    </row>
    <row r="25" customFormat="false" ht="30" hidden="false" customHeight="true" outlineLevel="0" collapsed="false">
      <c r="A25" s="17" t="s">
        <v>26</v>
      </c>
      <c r="B25" s="17" t="s">
        <v>27</v>
      </c>
      <c r="C25" s="17"/>
      <c r="D25" s="18" t="s">
        <v>28</v>
      </c>
      <c r="E25" s="19" t="s">
        <v>29</v>
      </c>
      <c r="F25" s="19"/>
    </row>
    <row r="26" customFormat="false" ht="30" hidden="false" customHeight="true" outlineLevel="0" collapsed="false">
      <c r="A26" s="17" t="s">
        <v>30</v>
      </c>
      <c r="B26" s="17" t="s">
        <v>27</v>
      </c>
      <c r="C26" s="17"/>
      <c r="D26" s="18" t="s">
        <v>28</v>
      </c>
      <c r="E26" s="19" t="s">
        <v>31</v>
      </c>
      <c r="F26" s="19"/>
    </row>
    <row r="27" customFormat="false" ht="30" hidden="false" customHeight="true" outlineLevel="0" collapsed="false">
      <c r="A27" s="17" t="s">
        <v>32</v>
      </c>
      <c r="B27" s="17" t="s">
        <v>33</v>
      </c>
      <c r="C27" s="17"/>
      <c r="D27" s="18" t="s">
        <v>28</v>
      </c>
      <c r="E27" s="19" t="s">
        <v>34</v>
      </c>
      <c r="F27" s="19"/>
    </row>
    <row r="28" customFormat="false" ht="30" hidden="false" customHeight="true" outlineLevel="0" collapsed="false">
      <c r="A28" s="17" t="s">
        <v>35</v>
      </c>
      <c r="B28" s="17" t="s">
        <v>36</v>
      </c>
      <c r="C28" s="17"/>
      <c r="D28" s="18" t="s">
        <v>28</v>
      </c>
      <c r="E28" s="19"/>
      <c r="F28" s="19"/>
    </row>
    <row r="29" customFormat="false" ht="30" hidden="false" customHeight="true" outlineLevel="0" collapsed="false">
      <c r="A29" s="17" t="s">
        <v>37</v>
      </c>
      <c r="B29" s="17" t="s">
        <v>38</v>
      </c>
      <c r="C29" s="17"/>
      <c r="D29" s="18" t="s">
        <v>28</v>
      </c>
      <c r="E29" s="19" t="s">
        <v>39</v>
      </c>
      <c r="F29" s="19"/>
    </row>
    <row r="31" customFormat="false" ht="27.75" hidden="false" customHeight="true" outlineLevel="0" collapsed="false">
      <c r="A31" s="20" t="s">
        <v>40</v>
      </c>
      <c r="B31" s="20"/>
      <c r="C31" s="20"/>
      <c r="D31" s="20"/>
      <c r="E31" s="20"/>
      <c r="F31" s="20"/>
    </row>
  </sheetData>
  <mergeCells count="15">
    <mergeCell ref="D4:F4"/>
    <mergeCell ref="B6:F6"/>
    <mergeCell ref="B24:C24"/>
    <mergeCell ref="E24:F24"/>
    <mergeCell ref="B25:C25"/>
    <mergeCell ref="E25:F25"/>
    <mergeCell ref="B26:C26"/>
    <mergeCell ref="E26:F26"/>
    <mergeCell ref="B27:C27"/>
    <mergeCell ref="E27:F27"/>
    <mergeCell ref="B28:C28"/>
    <mergeCell ref="E28:F28"/>
    <mergeCell ref="B29:C29"/>
    <mergeCell ref="E29:F29"/>
    <mergeCell ref="A31:F31"/>
  </mergeCells>
  <conditionalFormatting sqref="B5">
    <cfRule type="cellIs" priority="2" operator="equal" aboveAverage="0" equalAverage="0" bottom="0" percent="0" rank="0" text="" dxfId="0">
      <formula>"Green"</formula>
    </cfRule>
    <cfRule type="cellIs" priority="3" operator="equal" aboveAverage="0" equalAverage="0" bottom="0" percent="0" rank="0" text="" dxfId="1">
      <formula>"Amber"</formula>
    </cfRule>
    <cfRule type="cellIs" priority="4" operator="equal" aboveAverage="0" equalAverage="0" bottom="0" percent="0" rank="0" text="" dxfId="2">
      <formula>"Red"</formula>
    </cfRule>
  </conditionalFormatting>
  <conditionalFormatting sqref="D14:D20">
    <cfRule type="dataBar" priority="5">
      <dataBar showValue="1" minLength="10" maxLength="90">
        <cfvo type="num" val="0"/>
        <cfvo type="num" val="1"/>
        <color rgb="FF5B9BD5"/>
      </dataBar>
      <extLst>
        <ext xmlns:x14="http://schemas.microsoft.com/office/spreadsheetml/2009/9/main" uri="{B025F937-C7B1-47D3-B67F-A62EFF666E3E}">
          <x14:id>{A6863720-E64B-4970-9CF4-8BADFFAA7DB6}</x14:id>
        </ext>
      </extLst>
    </cfRule>
  </conditionalFormatting>
  <conditionalFormatting sqref="E14:E20">
    <cfRule type="cellIs" priority="6" operator="equal" aboveAverage="0" equalAverage="0" bottom="0" percent="0" rank="0" text="" dxfId="0">
      <formula>"Done"</formula>
    </cfRule>
    <cfRule type="cellIs" priority="7" operator="equal" aboveAverage="0" equalAverage="0" bottom="0" percent="0" rank="0" text="" dxfId="1">
      <formula>"In Progress"</formula>
    </cfRule>
    <cfRule type="cellIs" priority="8" operator="equal" aboveAverage="0" equalAverage="0" bottom="0" percent="0" rank="0" text="" dxfId="3">
      <formula>"Not Started"</formula>
    </cfRule>
    <cfRule type="cellIs" priority="9" operator="equal" aboveAverage="0" equalAverage="0" bottom="0" percent="0" rank="0" text="" dxfId="2">
      <formula>"Blocked"</formula>
    </cfRule>
  </conditionalFormatting>
  <conditionalFormatting sqref="D25:D29">
    <cfRule type="cellIs" priority="10" operator="equal" aboveAverage="0" equalAverage="0" bottom="0" percent="0" rank="0" text="" dxfId="1">
      <formula>"Open"</formula>
    </cfRule>
    <cfRule type="cellIs" priority="11" operator="equal" aboveAverage="0" equalAverage="0" bottom="0" percent="0" rank="0" text="" dxfId="0">
      <formula>"Approved"</formula>
    </cfRule>
    <cfRule type="cellIs" priority="12" operator="equal" aboveAverage="0" equalAverage="0" bottom="0" percent="0" rank="0" text="" dxfId="2">
      <formula>"Rejected"</formula>
    </cfRule>
    <cfRule type="cellIs" priority="13" operator="equal" aboveAverage="0" equalAverage="0" bottom="0" percent="0" rank="0" text="" dxfId="4">
      <formula>"Info needed"</formula>
    </cfRule>
  </conditionalFormatting>
  <dataValidations count="2">
    <dataValidation allowBlank="false" errorStyle="stop" operator="between" showDropDown="false" showErrorMessage="false" showInputMessage="false" sqref="B5" type="list">
      <formula1>"Green,Amber,Red"</formula1>
      <formula2>0</formula2>
    </dataValidation>
    <dataValidation allowBlank="true" errorStyle="stop" operator="between" showDropDown="false" showErrorMessage="false" showInputMessage="false" sqref="D25:D29" type="list">
      <formula1>"Open,Approved,Rejected,Info needed"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6863720-E64B-4970-9CF4-8BADFFAA7DB6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5B9BD5"/>
              <x14:axisColor rgb="FF000000"/>
            </x14:dataBar>
          </x14:cfRule>
          <xm:sqref>D14:D20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9BD5"/>
    <pageSetUpPr fitToPage="true"/>
  </sheetPr>
  <dimension ref="A1:AH4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0"/>
    <col collapsed="false" customWidth="true" hidden="false" outlineLevel="0" max="3" min="3" style="0" width="22"/>
    <col collapsed="false" customWidth="true" hidden="false" outlineLevel="0" max="5" min="4" style="0" width="12"/>
    <col collapsed="false" customWidth="true" hidden="false" outlineLevel="0" max="6" min="6" style="0" width="9"/>
    <col collapsed="false" customWidth="true" hidden="false" outlineLevel="0" max="7" min="7" style="0" width="13"/>
    <col collapsed="false" customWidth="true" hidden="false" outlineLevel="0" max="8" min="8" style="0" width="8"/>
    <col collapsed="false" customWidth="true" hidden="false" outlineLevel="0" max="9" min="9" style="0" width="13"/>
    <col collapsed="false" customWidth="true" hidden="false" outlineLevel="0" max="10" min="10" style="0" width="44"/>
    <col collapsed="false" customWidth="true" hidden="false" outlineLevel="0" max="11" min="11" style="0" width="2"/>
    <col collapsed="false" customWidth="true" hidden="false" outlineLevel="0" max="34" min="12" style="0" width="3.4"/>
  </cols>
  <sheetData>
    <row r="1" customFormat="false" ht="19.7" hidden="false" customHeight="false" outlineLevel="0" collapsed="false">
      <c r="A1" s="21" t="s">
        <v>41</v>
      </c>
    </row>
    <row r="2" customFormat="false" ht="15" hidden="false" customHeight="false" outlineLevel="0" collapsed="false">
      <c r="A2" s="2" t="s">
        <v>42</v>
      </c>
    </row>
    <row r="3" customFormat="false" ht="15" hidden="false" customHeight="false" outlineLevel="0" collapsed="false">
      <c r="B3" s="22" t="s">
        <v>43</v>
      </c>
      <c r="C3" s="23" t="n">
        <v>46286</v>
      </c>
      <c r="D3" s="22" t="s">
        <v>44</v>
      </c>
      <c r="E3" s="24" t="n">
        <f aca="true">TODAY()</f>
        <v>46323</v>
      </c>
    </row>
    <row r="4" customFormat="false" ht="15" hidden="false" customHeight="false" outlineLevel="0" collapsed="false">
      <c r="L4" s="25" t="s">
        <v>10</v>
      </c>
      <c r="M4" s="25"/>
      <c r="N4" s="25"/>
      <c r="O4" s="26" t="s">
        <v>11</v>
      </c>
      <c r="P4" s="26"/>
      <c r="Q4" s="26"/>
      <c r="R4" s="27" t="s">
        <v>45</v>
      </c>
      <c r="S4" s="27"/>
      <c r="T4" s="27"/>
      <c r="U4" s="28" t="s">
        <v>46</v>
      </c>
      <c r="V4" s="28"/>
      <c r="W4" s="28"/>
      <c r="X4" s="29" t="s">
        <v>47</v>
      </c>
      <c r="Y4" s="29"/>
      <c r="Z4" s="29"/>
      <c r="AA4" s="30" t="s">
        <v>48</v>
      </c>
      <c r="AB4" s="30"/>
      <c r="AC4" s="30"/>
    </row>
    <row r="5" customFormat="false" ht="45.75" hidden="false" customHeight="true" outlineLevel="0" collapsed="false">
      <c r="A5" s="31" t="s">
        <v>49</v>
      </c>
      <c r="B5" s="31" t="s">
        <v>50</v>
      </c>
      <c r="C5" s="31" t="s">
        <v>51</v>
      </c>
      <c r="D5" s="31" t="s">
        <v>52</v>
      </c>
      <c r="E5" s="31" t="s">
        <v>18</v>
      </c>
      <c r="F5" s="31" t="s">
        <v>53</v>
      </c>
      <c r="G5" s="31" t="s">
        <v>20</v>
      </c>
      <c r="H5" s="31" t="s">
        <v>54</v>
      </c>
      <c r="I5" s="31" t="s">
        <v>55</v>
      </c>
      <c r="J5" s="31" t="s">
        <v>56</v>
      </c>
      <c r="L5" s="32" t="n">
        <f aca="false">$C$3</f>
        <v>46286</v>
      </c>
      <c r="M5" s="32" t="n">
        <f aca="false">L5+7</f>
        <v>46293</v>
      </c>
      <c r="N5" s="32" t="n">
        <f aca="false">M5+7</f>
        <v>46300</v>
      </c>
      <c r="O5" s="32" t="n">
        <f aca="false">N5+7</f>
        <v>46307</v>
      </c>
      <c r="P5" s="32" t="n">
        <f aca="false">O5+7</f>
        <v>46314</v>
      </c>
      <c r="Q5" s="32" t="n">
        <f aca="false">P5+7</f>
        <v>46321</v>
      </c>
      <c r="R5" s="32" t="n">
        <f aca="false">Q5+7</f>
        <v>46328</v>
      </c>
      <c r="S5" s="32" t="n">
        <f aca="false">R5+7</f>
        <v>46335</v>
      </c>
      <c r="T5" s="32" t="n">
        <f aca="false">S5+7</f>
        <v>46342</v>
      </c>
      <c r="U5" s="32" t="n">
        <f aca="false">T5+7</f>
        <v>46349</v>
      </c>
      <c r="V5" s="32" t="n">
        <f aca="false">U5+7</f>
        <v>46356</v>
      </c>
      <c r="W5" s="32" t="n">
        <f aca="false">V5+7</f>
        <v>46363</v>
      </c>
      <c r="X5" s="32" t="n">
        <f aca="false">W5+7</f>
        <v>46370</v>
      </c>
      <c r="Y5" s="32" t="n">
        <f aca="false">X5+7</f>
        <v>46377</v>
      </c>
      <c r="Z5" s="32" t="n">
        <f aca="false">Y5+7</f>
        <v>46384</v>
      </c>
      <c r="AA5" s="32" t="n">
        <f aca="false">Z5+7</f>
        <v>46391</v>
      </c>
      <c r="AB5" s="32" t="n">
        <f aca="false">AA5+7</f>
        <v>46398</v>
      </c>
      <c r="AC5" s="32" t="n">
        <f aca="false">AB5+7</f>
        <v>46405</v>
      </c>
      <c r="AD5" s="32" t="n">
        <f aca="false">AC5+7</f>
        <v>46412</v>
      </c>
      <c r="AE5" s="32" t="n">
        <f aca="false">AD5+7</f>
        <v>46419</v>
      </c>
      <c r="AF5" s="32" t="n">
        <f aca="false">AE5+7</f>
        <v>46426</v>
      </c>
      <c r="AG5" s="32" t="n">
        <f aca="false">AF5+7</f>
        <v>46433</v>
      </c>
      <c r="AH5" s="32" t="n">
        <f aca="false">AG5+7</f>
        <v>46440</v>
      </c>
    </row>
    <row r="6" customFormat="false" ht="15" hidden="false" customHeight="false" outlineLevel="0" collapsed="false">
      <c r="A6" s="33" t="s">
        <v>57</v>
      </c>
      <c r="B6" s="33" t="s">
        <v>58</v>
      </c>
      <c r="C6" s="34"/>
      <c r="D6" s="35" t="n">
        <f aca="false">MIN(D7:D8)</f>
        <v>46287</v>
      </c>
      <c r="E6" s="35" t="n">
        <f aca="false">MAX(E7:E8)</f>
        <v>46297</v>
      </c>
      <c r="F6" s="34" t="n">
        <f aca="false">NETWORKDAYS(D6,E6)</f>
        <v>9</v>
      </c>
      <c r="G6" s="34" t="str">
        <f aca="false">IF(H6=1,"Done",IF(COUNTIF(G7:G8,"Blocked")&gt;0,"Blocked",IF(AND(H6=0,COUNTIF(G7:G8,"In Progress")=0),"Not Started","In Progress")))</f>
        <v>Done</v>
      </c>
      <c r="H6" s="36" t="n">
        <f aca="false">AVERAGE(H7:H8)</f>
        <v>1</v>
      </c>
      <c r="I6" s="34"/>
      <c r="J6" s="34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</row>
    <row r="7" customFormat="false" ht="27" hidden="false" customHeight="true" outlineLevel="0" collapsed="false">
      <c r="A7" s="38" t="s">
        <v>59</v>
      </c>
      <c r="B7" s="39" t="s">
        <v>60</v>
      </c>
      <c r="C7" s="16" t="s">
        <v>61</v>
      </c>
      <c r="D7" s="14" t="n">
        <v>46287</v>
      </c>
      <c r="E7" s="14" t="n">
        <v>46297</v>
      </c>
      <c r="F7" s="16" t="n">
        <f aca="false">IF(OR(D7="",E7=""),"",NETWORKDAYS(D7,E7))</f>
        <v>9</v>
      </c>
      <c r="G7" s="16" t="s">
        <v>10</v>
      </c>
      <c r="H7" s="15" t="n">
        <v>1</v>
      </c>
      <c r="I7" s="14" t="n">
        <v>46297</v>
      </c>
      <c r="J7" s="39" t="s">
        <v>62</v>
      </c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</row>
    <row r="8" customFormat="false" ht="27" hidden="false" customHeight="true" outlineLevel="0" collapsed="false">
      <c r="A8" s="38" t="s">
        <v>63</v>
      </c>
      <c r="B8" s="39" t="s">
        <v>64</v>
      </c>
      <c r="C8" s="16" t="s">
        <v>61</v>
      </c>
      <c r="D8" s="14" t="n">
        <v>46297</v>
      </c>
      <c r="E8" s="14" t="n">
        <v>46297</v>
      </c>
      <c r="F8" s="16" t="n">
        <f aca="false">IF(OR(D8="",E8=""),"",NETWORKDAYS(D8,E8))</f>
        <v>1</v>
      </c>
      <c r="G8" s="16" t="s">
        <v>10</v>
      </c>
      <c r="H8" s="15" t="n">
        <v>1</v>
      </c>
      <c r="I8" s="14" t="n">
        <v>46297</v>
      </c>
      <c r="J8" s="39" t="s">
        <v>65</v>
      </c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</row>
    <row r="9" customFormat="false" ht="15" hidden="false" customHeight="false" outlineLevel="0" collapsed="false">
      <c r="A9" s="33" t="s">
        <v>66</v>
      </c>
      <c r="B9" s="33" t="s">
        <v>67</v>
      </c>
      <c r="C9" s="34"/>
      <c r="D9" s="35" t="n">
        <f aca="false">MIN(D10:D16)</f>
        <v>46317</v>
      </c>
      <c r="E9" s="35" t="n">
        <f aca="false">MAX(E10:E16)</f>
        <v>46325</v>
      </c>
      <c r="F9" s="34" t="n">
        <f aca="false">NETWORKDAYS(D9,E9)</f>
        <v>7</v>
      </c>
      <c r="G9" s="34" t="str">
        <f aca="false">IF(H9=1,"Done",IF(COUNTIF(G10:G16,"Blocked")&gt;0,"Blocked",IF(AND(H9=0,COUNTIF(G10:G16,"In Progress")=0),"Not Started","In Progress")))</f>
        <v>In Progress</v>
      </c>
      <c r="H9" s="36" t="n">
        <f aca="false">AVERAGE(H10:H16)</f>
        <v>0.971428571428571</v>
      </c>
      <c r="I9" s="34"/>
      <c r="J9" s="34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</row>
    <row r="10" customFormat="false" ht="19.5" hidden="false" customHeight="true" outlineLevel="0" collapsed="false">
      <c r="A10" s="38" t="s">
        <v>68</v>
      </c>
      <c r="B10" s="39" t="s">
        <v>69</v>
      </c>
      <c r="C10" s="16" t="s">
        <v>61</v>
      </c>
      <c r="D10" s="14" t="n">
        <v>46317</v>
      </c>
      <c r="E10" s="14" t="n">
        <v>46317</v>
      </c>
      <c r="F10" s="16" t="n">
        <f aca="false">IF(OR(D10="",E10=""),"",NETWORKDAYS(D10,E10))</f>
        <v>1</v>
      </c>
      <c r="G10" s="16" t="s">
        <v>10</v>
      </c>
      <c r="H10" s="15" t="n">
        <v>1</v>
      </c>
      <c r="I10" s="14" t="n">
        <v>46317</v>
      </c>
      <c r="J10" s="39" t="s">
        <v>70</v>
      </c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</row>
    <row r="11" customFormat="false" ht="19.5" hidden="false" customHeight="true" outlineLevel="0" collapsed="false">
      <c r="A11" s="38" t="s">
        <v>71</v>
      </c>
      <c r="B11" s="39" t="s">
        <v>72</v>
      </c>
      <c r="C11" s="16" t="s">
        <v>61</v>
      </c>
      <c r="D11" s="14" t="n">
        <v>46317</v>
      </c>
      <c r="E11" s="14" t="n">
        <v>46317</v>
      </c>
      <c r="F11" s="16" t="n">
        <f aca="false">IF(OR(D11="",E11=""),"",NETWORKDAYS(D11,E11))</f>
        <v>1</v>
      </c>
      <c r="G11" s="16" t="s">
        <v>10</v>
      </c>
      <c r="H11" s="15" t="n">
        <v>1</v>
      </c>
      <c r="I11" s="14" t="n">
        <v>46317</v>
      </c>
      <c r="J11" s="39" t="s">
        <v>73</v>
      </c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</row>
    <row r="12" customFormat="false" ht="27" hidden="false" customHeight="true" outlineLevel="0" collapsed="false">
      <c r="A12" s="38" t="s">
        <v>74</v>
      </c>
      <c r="B12" s="39" t="s">
        <v>75</v>
      </c>
      <c r="C12" s="16" t="s">
        <v>61</v>
      </c>
      <c r="D12" s="14" t="n">
        <v>46317</v>
      </c>
      <c r="E12" s="14" t="n">
        <v>46317</v>
      </c>
      <c r="F12" s="16" t="n">
        <f aca="false">IF(OR(D12="",E12=""),"",NETWORKDAYS(D12,E12))</f>
        <v>1</v>
      </c>
      <c r="G12" s="16" t="s">
        <v>10</v>
      </c>
      <c r="H12" s="15" t="n">
        <v>1</v>
      </c>
      <c r="I12" s="14" t="n">
        <v>46317</v>
      </c>
      <c r="J12" s="39" t="s">
        <v>76</v>
      </c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</row>
    <row r="13" customFormat="false" ht="19.5" hidden="false" customHeight="true" outlineLevel="0" collapsed="false">
      <c r="A13" s="38" t="s">
        <v>77</v>
      </c>
      <c r="B13" s="39" t="s">
        <v>78</v>
      </c>
      <c r="C13" s="16" t="s">
        <v>61</v>
      </c>
      <c r="D13" s="14" t="n">
        <v>46317</v>
      </c>
      <c r="E13" s="14" t="n">
        <v>46317</v>
      </c>
      <c r="F13" s="16" t="n">
        <f aca="false">IF(OR(D13="",E13=""),"",NETWORKDAYS(D13,E13))</f>
        <v>1</v>
      </c>
      <c r="G13" s="16" t="s">
        <v>10</v>
      </c>
      <c r="H13" s="15" t="n">
        <v>1</v>
      </c>
      <c r="I13" s="14" t="n">
        <v>46317</v>
      </c>
      <c r="J13" s="39" t="s">
        <v>79</v>
      </c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</row>
    <row r="14" customFormat="false" ht="19.5" hidden="false" customHeight="true" outlineLevel="0" collapsed="false">
      <c r="A14" s="38" t="s">
        <v>80</v>
      </c>
      <c r="B14" s="39" t="s">
        <v>81</v>
      </c>
      <c r="C14" s="16" t="s">
        <v>61</v>
      </c>
      <c r="D14" s="14" t="n">
        <v>46317</v>
      </c>
      <c r="E14" s="14" t="n">
        <v>46317</v>
      </c>
      <c r="F14" s="16" t="n">
        <f aca="false">IF(OR(D14="",E14=""),"",NETWORKDAYS(D14,E14))</f>
        <v>1</v>
      </c>
      <c r="G14" s="16" t="s">
        <v>10</v>
      </c>
      <c r="H14" s="15" t="n">
        <v>1</v>
      </c>
      <c r="I14" s="14" t="n">
        <v>46317</v>
      </c>
      <c r="J14" s="39" t="s">
        <v>82</v>
      </c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</row>
    <row r="15" customFormat="false" ht="40.5" hidden="false" customHeight="true" outlineLevel="0" collapsed="false">
      <c r="A15" s="38" t="s">
        <v>83</v>
      </c>
      <c r="B15" s="39" t="s">
        <v>84</v>
      </c>
      <c r="C15" s="16" t="s">
        <v>61</v>
      </c>
      <c r="D15" s="14" t="n">
        <v>46317</v>
      </c>
      <c r="E15" s="14" t="n">
        <v>46317</v>
      </c>
      <c r="F15" s="16" t="n">
        <f aca="false">IF(OR(D15="",E15=""),"",NETWORKDAYS(D15,E15))</f>
        <v>1</v>
      </c>
      <c r="G15" s="16" t="s">
        <v>10</v>
      </c>
      <c r="H15" s="15" t="n">
        <v>1</v>
      </c>
      <c r="I15" s="14" t="n">
        <v>46317</v>
      </c>
      <c r="J15" s="39" t="s">
        <v>85</v>
      </c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</row>
    <row r="16" customFormat="false" ht="54" hidden="false" customHeight="true" outlineLevel="0" collapsed="false">
      <c r="A16" s="38" t="s">
        <v>86</v>
      </c>
      <c r="B16" s="39" t="s">
        <v>87</v>
      </c>
      <c r="C16" s="16" t="s">
        <v>61</v>
      </c>
      <c r="D16" s="14" t="n">
        <v>46323</v>
      </c>
      <c r="E16" s="14" t="n">
        <v>46325</v>
      </c>
      <c r="F16" s="16" t="n">
        <f aca="false">IF(OR(D16="",E16=""),"",NETWORKDAYS(D16,E16))</f>
        <v>3</v>
      </c>
      <c r="G16" s="16" t="s">
        <v>88</v>
      </c>
      <c r="H16" s="15" t="n">
        <v>0.8</v>
      </c>
      <c r="I16" s="14"/>
      <c r="J16" s="39" t="s">
        <v>89</v>
      </c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</row>
    <row r="17" customFormat="false" ht="15" hidden="false" customHeight="false" outlineLevel="0" collapsed="false">
      <c r="A17" s="33" t="s">
        <v>90</v>
      </c>
      <c r="B17" s="33" t="s">
        <v>91</v>
      </c>
      <c r="C17" s="34"/>
      <c r="D17" s="35" t="n">
        <f aca="false">MIN(D18:D22)</f>
        <v>46323</v>
      </c>
      <c r="E17" s="35" t="n">
        <f aca="false">MAX(E18:E22)</f>
        <v>46337</v>
      </c>
      <c r="F17" s="34" t="n">
        <f aca="false">NETWORKDAYS(D17,E17)</f>
        <v>11</v>
      </c>
      <c r="G17" s="34" t="str">
        <f aca="false">IF(H17=1,"Done",IF(COUNTIF(G18:G22,"Blocked")&gt;0,"Blocked",IF(AND(H17=0,COUNTIF(G18:G22,"In Progress")=0),"Not Started","In Progress")))</f>
        <v>In Progress</v>
      </c>
      <c r="H17" s="36" t="n">
        <f aca="false">AVERAGE(H18:H22)</f>
        <v>0.15</v>
      </c>
      <c r="I17" s="34"/>
      <c r="J17" s="34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</row>
    <row r="18" customFormat="false" ht="19.5" hidden="false" customHeight="true" outlineLevel="0" collapsed="false">
      <c r="A18" s="38" t="s">
        <v>92</v>
      </c>
      <c r="B18" s="39" t="s">
        <v>93</v>
      </c>
      <c r="C18" s="16" t="s">
        <v>61</v>
      </c>
      <c r="D18" s="14" t="n">
        <v>46323</v>
      </c>
      <c r="E18" s="14" t="n">
        <v>46324</v>
      </c>
      <c r="F18" s="16" t="n">
        <f aca="false">IF(OR(D18="",E18=""),"",NETWORKDAYS(D18,E18))</f>
        <v>2</v>
      </c>
      <c r="G18" s="16" t="s">
        <v>94</v>
      </c>
      <c r="H18" s="15" t="n">
        <v>0</v>
      </c>
      <c r="I18" s="14"/>
      <c r="J18" s="39" t="s">
        <v>95</v>
      </c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</row>
    <row r="19" customFormat="false" ht="27" hidden="false" customHeight="true" outlineLevel="0" collapsed="false">
      <c r="A19" s="38" t="s">
        <v>96</v>
      </c>
      <c r="B19" s="39" t="s">
        <v>97</v>
      </c>
      <c r="C19" s="16" t="s">
        <v>61</v>
      </c>
      <c r="D19" s="14" t="n">
        <v>46324</v>
      </c>
      <c r="E19" s="14" t="n">
        <v>46330</v>
      </c>
      <c r="F19" s="16" t="n">
        <f aca="false">IF(OR(D19="",E19=""),"",NETWORKDAYS(D19,E19))</f>
        <v>5</v>
      </c>
      <c r="G19" s="16" t="s">
        <v>94</v>
      </c>
      <c r="H19" s="15" t="n">
        <v>0</v>
      </c>
      <c r="I19" s="14"/>
      <c r="J19" s="39" t="s">
        <v>98</v>
      </c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</row>
    <row r="20" customFormat="false" ht="19.5" hidden="false" customHeight="true" outlineLevel="0" collapsed="false">
      <c r="A20" s="38" t="s">
        <v>99</v>
      </c>
      <c r="B20" s="39" t="s">
        <v>100</v>
      </c>
      <c r="C20" s="16" t="s">
        <v>61</v>
      </c>
      <c r="D20" s="14" t="n">
        <v>46330</v>
      </c>
      <c r="E20" s="14" t="n">
        <v>46337</v>
      </c>
      <c r="F20" s="16" t="n">
        <f aca="false">IF(OR(D20="",E20=""),"",NETWORKDAYS(D20,E20))</f>
        <v>6</v>
      </c>
      <c r="G20" s="16" t="s">
        <v>94</v>
      </c>
      <c r="H20" s="15" t="n">
        <v>0</v>
      </c>
      <c r="I20" s="14"/>
      <c r="J20" s="39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</row>
    <row r="21" customFormat="false" ht="40.5" hidden="false" customHeight="true" outlineLevel="0" collapsed="false">
      <c r="A21" s="38" t="s">
        <v>101</v>
      </c>
      <c r="B21" s="39" t="s">
        <v>102</v>
      </c>
      <c r="C21" s="16" t="s">
        <v>61</v>
      </c>
      <c r="D21" s="14" t="n">
        <v>46323</v>
      </c>
      <c r="E21" s="14" t="n">
        <v>46332</v>
      </c>
      <c r="F21" s="16" t="n">
        <f aca="false">IF(OR(D21="",E21=""),"",NETWORKDAYS(D21,E21))</f>
        <v>8</v>
      </c>
      <c r="G21" s="16" t="s">
        <v>88</v>
      </c>
      <c r="H21" s="15" t="n">
        <v>0.75</v>
      </c>
      <c r="I21" s="14"/>
      <c r="J21" s="39" t="s">
        <v>103</v>
      </c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</row>
    <row r="22" customFormat="false" ht="40.5" hidden="false" customHeight="true" outlineLevel="0" collapsed="false">
      <c r="A22" s="38" t="s">
        <v>104</v>
      </c>
      <c r="B22" s="39" t="s">
        <v>105</v>
      </c>
      <c r="C22" s="16" t="s">
        <v>61</v>
      </c>
      <c r="D22" s="14" t="n">
        <v>46331</v>
      </c>
      <c r="E22" s="14" t="n">
        <v>46337</v>
      </c>
      <c r="F22" s="16" t="n">
        <f aca="false">IF(OR(D22="",E22=""),"",NETWORKDAYS(D22,E22))</f>
        <v>5</v>
      </c>
      <c r="G22" s="16" t="s">
        <v>94</v>
      </c>
      <c r="H22" s="15" t="n">
        <v>0</v>
      </c>
      <c r="I22" s="14"/>
      <c r="J22" s="39" t="s">
        <v>106</v>
      </c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</row>
    <row r="23" customFormat="false" ht="15" hidden="false" customHeight="false" outlineLevel="0" collapsed="false">
      <c r="A23" s="33" t="s">
        <v>107</v>
      </c>
      <c r="B23" s="33" t="s">
        <v>108</v>
      </c>
      <c r="C23" s="34"/>
      <c r="D23" s="35" t="n">
        <f aca="false">MIN(D24:D28)</f>
        <v>46323</v>
      </c>
      <c r="E23" s="35" t="n">
        <f aca="false">MAX(E24:E28)</f>
        <v>46360</v>
      </c>
      <c r="F23" s="34" t="n">
        <f aca="false">NETWORKDAYS(D23,E23)</f>
        <v>28</v>
      </c>
      <c r="G23" s="34" t="str">
        <f aca="false">IF(H23=1,"Done",IF(COUNTIF(G24:G28,"Blocked")&gt;0,"Blocked",IF(AND(H23=0,COUNTIF(G24:G28,"In Progress")=0),"Not Started","In Progress")))</f>
        <v>Not Started</v>
      </c>
      <c r="H23" s="36" t="n">
        <f aca="false">AVERAGE(H24:H28)</f>
        <v>0</v>
      </c>
      <c r="I23" s="34"/>
      <c r="J23" s="34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</row>
    <row r="24" customFormat="false" ht="27" hidden="false" customHeight="true" outlineLevel="0" collapsed="false">
      <c r="A24" s="38" t="s">
        <v>109</v>
      </c>
      <c r="B24" s="39" t="s">
        <v>110</v>
      </c>
      <c r="C24" s="16" t="s">
        <v>36</v>
      </c>
      <c r="D24" s="14" t="n">
        <v>46323</v>
      </c>
      <c r="E24" s="14" t="n">
        <v>46332</v>
      </c>
      <c r="F24" s="16" t="n">
        <f aca="false">IF(OR(D24="",E24=""),"",NETWORKDAYS(D24,E24))</f>
        <v>8</v>
      </c>
      <c r="G24" s="16" t="s">
        <v>94</v>
      </c>
      <c r="H24" s="15" t="n">
        <v>0</v>
      </c>
      <c r="I24" s="14"/>
      <c r="J24" s="39" t="s">
        <v>111</v>
      </c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</row>
    <row r="25" customFormat="false" ht="27" hidden="false" customHeight="true" outlineLevel="0" collapsed="false">
      <c r="A25" s="38" t="s">
        <v>112</v>
      </c>
      <c r="B25" s="39" t="s">
        <v>113</v>
      </c>
      <c r="C25" s="16" t="s">
        <v>33</v>
      </c>
      <c r="D25" s="14" t="n">
        <v>46323</v>
      </c>
      <c r="E25" s="14" t="n">
        <v>46332</v>
      </c>
      <c r="F25" s="16" t="n">
        <f aca="false">IF(OR(D25="",E25=""),"",NETWORKDAYS(D25,E25))</f>
        <v>8</v>
      </c>
      <c r="G25" s="16" t="s">
        <v>94</v>
      </c>
      <c r="H25" s="15" t="n">
        <v>0</v>
      </c>
      <c r="I25" s="14"/>
      <c r="J25" s="39" t="s">
        <v>114</v>
      </c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</row>
    <row r="26" customFormat="false" ht="27" hidden="false" customHeight="true" outlineLevel="0" collapsed="false">
      <c r="A26" s="38" t="s">
        <v>115</v>
      </c>
      <c r="B26" s="39" t="s">
        <v>116</v>
      </c>
      <c r="C26" s="16" t="s">
        <v>61</v>
      </c>
      <c r="D26" s="14" t="n">
        <v>46335</v>
      </c>
      <c r="E26" s="14" t="n">
        <v>46339</v>
      </c>
      <c r="F26" s="16" t="n">
        <f aca="false">IF(OR(D26="",E26=""),"",NETWORKDAYS(D26,E26))</f>
        <v>5</v>
      </c>
      <c r="G26" s="16" t="s">
        <v>94</v>
      </c>
      <c r="H26" s="15" t="n">
        <v>0</v>
      </c>
      <c r="I26" s="14"/>
      <c r="J26" s="39" t="s">
        <v>117</v>
      </c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</row>
    <row r="27" customFormat="false" ht="27" hidden="false" customHeight="true" outlineLevel="0" collapsed="false">
      <c r="A27" s="38" t="s">
        <v>118</v>
      </c>
      <c r="B27" s="39" t="s">
        <v>119</v>
      </c>
      <c r="C27" s="16" t="s">
        <v>61</v>
      </c>
      <c r="D27" s="14" t="n">
        <v>46342</v>
      </c>
      <c r="E27" s="14" t="n">
        <v>46353</v>
      </c>
      <c r="F27" s="16" t="n">
        <f aca="false">IF(OR(D27="",E27=""),"",NETWORKDAYS(D27,E27))</f>
        <v>10</v>
      </c>
      <c r="G27" s="16" t="s">
        <v>94</v>
      </c>
      <c r="H27" s="15" t="n">
        <v>0</v>
      </c>
      <c r="I27" s="14"/>
      <c r="J27" s="39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</row>
    <row r="28" customFormat="false" ht="19.5" hidden="false" customHeight="true" outlineLevel="0" collapsed="false">
      <c r="A28" s="38" t="s">
        <v>120</v>
      </c>
      <c r="B28" s="39" t="s">
        <v>121</v>
      </c>
      <c r="C28" s="16" t="s">
        <v>61</v>
      </c>
      <c r="D28" s="14" t="n">
        <v>46356</v>
      </c>
      <c r="E28" s="14" t="n">
        <v>46360</v>
      </c>
      <c r="F28" s="16" t="n">
        <f aca="false">IF(OR(D28="",E28=""),"",NETWORKDAYS(D28,E28))</f>
        <v>5</v>
      </c>
      <c r="G28" s="16" t="s">
        <v>94</v>
      </c>
      <c r="H28" s="15" t="n">
        <v>0</v>
      </c>
      <c r="I28" s="14"/>
      <c r="J28" s="39" t="s">
        <v>122</v>
      </c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</row>
    <row r="29" customFormat="false" ht="15" hidden="false" customHeight="false" outlineLevel="0" collapsed="false">
      <c r="A29" s="33" t="s">
        <v>123</v>
      </c>
      <c r="B29" s="33" t="s">
        <v>124</v>
      </c>
      <c r="C29" s="34"/>
      <c r="D29" s="35" t="n">
        <f aca="false">MIN(D30:D31)</f>
        <v>46363</v>
      </c>
      <c r="E29" s="35" t="n">
        <f aca="false">MAX(E30:E31)</f>
        <v>46374</v>
      </c>
      <c r="F29" s="34" t="n">
        <f aca="false">NETWORKDAYS(D29,E29)</f>
        <v>10</v>
      </c>
      <c r="G29" s="34" t="str">
        <f aca="false">IF(H29=1,"Done",IF(COUNTIF(G30:G31,"Blocked")&gt;0,"Blocked",IF(AND(H29=0,COUNTIF(G30:G31,"In Progress")=0),"Not Started","In Progress")))</f>
        <v>Not Started</v>
      </c>
      <c r="H29" s="36" t="n">
        <f aca="false">AVERAGE(H30:H31)</f>
        <v>0</v>
      </c>
      <c r="I29" s="34"/>
      <c r="J29" s="34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</row>
    <row r="30" customFormat="false" ht="19.5" hidden="false" customHeight="true" outlineLevel="0" collapsed="false">
      <c r="A30" s="38" t="s">
        <v>125</v>
      </c>
      <c r="B30" s="39" t="s">
        <v>126</v>
      </c>
      <c r="C30" s="16" t="s">
        <v>61</v>
      </c>
      <c r="D30" s="14" t="n">
        <v>46363</v>
      </c>
      <c r="E30" s="14" t="n">
        <v>46365</v>
      </c>
      <c r="F30" s="16" t="n">
        <f aca="false">IF(OR(D30="",E30=""),"",NETWORKDAYS(D30,E30))</f>
        <v>3</v>
      </c>
      <c r="G30" s="16" t="s">
        <v>94</v>
      </c>
      <c r="H30" s="15" t="n">
        <v>0</v>
      </c>
      <c r="I30" s="14"/>
      <c r="J30" s="39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</row>
    <row r="31" customFormat="false" ht="19.5" hidden="false" customHeight="true" outlineLevel="0" collapsed="false">
      <c r="A31" s="38" t="s">
        <v>127</v>
      </c>
      <c r="B31" s="39" t="s">
        <v>128</v>
      </c>
      <c r="C31" s="16" t="s">
        <v>61</v>
      </c>
      <c r="D31" s="14" t="n">
        <v>46366</v>
      </c>
      <c r="E31" s="14" t="n">
        <v>46374</v>
      </c>
      <c r="F31" s="16" t="n">
        <f aca="false">IF(OR(D31="",E31=""),"",NETWORKDAYS(D31,E31))</f>
        <v>7</v>
      </c>
      <c r="G31" s="16" t="s">
        <v>94</v>
      </c>
      <c r="H31" s="15" t="n">
        <v>0</v>
      </c>
      <c r="I31" s="14"/>
      <c r="J31" s="39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</row>
    <row r="32" customFormat="false" ht="15" hidden="false" customHeight="false" outlineLevel="0" collapsed="false">
      <c r="A32" s="33" t="s">
        <v>129</v>
      </c>
      <c r="B32" s="33" t="s">
        <v>130</v>
      </c>
      <c r="C32" s="34"/>
      <c r="D32" s="35" t="n">
        <f aca="false">MIN(D33:D37)</f>
        <v>46377</v>
      </c>
      <c r="E32" s="35" t="n">
        <f aca="false">MAX(E33:E37)</f>
        <v>46416</v>
      </c>
      <c r="F32" s="34" t="n">
        <f aca="false">NETWORKDAYS(D32,E32)</f>
        <v>30</v>
      </c>
      <c r="G32" s="34" t="str">
        <f aca="false">IF(H32=1,"Done",IF(COUNTIF(G33:G37,"Blocked")&gt;0,"Blocked",IF(AND(H32=0,COUNTIF(G33:G37,"In Progress")=0),"Not Started","In Progress")))</f>
        <v>Not Started</v>
      </c>
      <c r="H32" s="36" t="n">
        <f aca="false">AVERAGE(H33:H37)</f>
        <v>0</v>
      </c>
      <c r="I32" s="34"/>
      <c r="J32" s="34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</row>
    <row r="33" customFormat="false" ht="19.5" hidden="false" customHeight="true" outlineLevel="0" collapsed="false">
      <c r="A33" s="38" t="s">
        <v>131</v>
      </c>
      <c r="B33" s="39" t="s">
        <v>132</v>
      </c>
      <c r="C33" s="16" t="s">
        <v>61</v>
      </c>
      <c r="D33" s="14" t="n">
        <v>46377</v>
      </c>
      <c r="E33" s="14" t="n">
        <v>46387</v>
      </c>
      <c r="F33" s="16" t="n">
        <f aca="false">IF(OR(D33="",E33=""),"",NETWORKDAYS(D33,E33))</f>
        <v>9</v>
      </c>
      <c r="G33" s="16" t="s">
        <v>94</v>
      </c>
      <c r="H33" s="15" t="n">
        <v>0</v>
      </c>
      <c r="I33" s="14"/>
      <c r="J33" s="39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</row>
    <row r="34" customFormat="false" ht="27" hidden="false" customHeight="true" outlineLevel="0" collapsed="false">
      <c r="A34" s="38" t="s">
        <v>133</v>
      </c>
      <c r="B34" s="39" t="s">
        <v>134</v>
      </c>
      <c r="C34" s="16" t="s">
        <v>61</v>
      </c>
      <c r="D34" s="14" t="n">
        <v>46391</v>
      </c>
      <c r="E34" s="14" t="n">
        <v>46395</v>
      </c>
      <c r="F34" s="16" t="n">
        <f aca="false">IF(OR(D34="",E34=""),"",NETWORKDAYS(D34,E34))</f>
        <v>5</v>
      </c>
      <c r="G34" s="16" t="s">
        <v>94</v>
      </c>
      <c r="H34" s="15" t="n">
        <v>0</v>
      </c>
      <c r="I34" s="14"/>
      <c r="J34" s="39" t="s">
        <v>135</v>
      </c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</row>
    <row r="35" customFormat="false" ht="19.5" hidden="false" customHeight="true" outlineLevel="0" collapsed="false">
      <c r="A35" s="38" t="s">
        <v>136</v>
      </c>
      <c r="B35" s="39" t="s">
        <v>137</v>
      </c>
      <c r="C35" s="16" t="s">
        <v>61</v>
      </c>
      <c r="D35" s="14" t="n">
        <v>46398</v>
      </c>
      <c r="E35" s="14" t="n">
        <v>46402</v>
      </c>
      <c r="F35" s="16" t="n">
        <f aca="false">IF(OR(D35="",E35=""),"",NETWORKDAYS(D35,E35))</f>
        <v>5</v>
      </c>
      <c r="G35" s="16" t="s">
        <v>94</v>
      </c>
      <c r="H35" s="15" t="n">
        <v>0</v>
      </c>
      <c r="I35" s="14"/>
      <c r="J35" s="39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</row>
    <row r="36" customFormat="false" ht="27" hidden="false" customHeight="true" outlineLevel="0" collapsed="false">
      <c r="A36" s="38" t="s">
        <v>138</v>
      </c>
      <c r="B36" s="39" t="s">
        <v>139</v>
      </c>
      <c r="C36" s="16" t="s">
        <v>61</v>
      </c>
      <c r="D36" s="14" t="n">
        <v>46405</v>
      </c>
      <c r="E36" s="14" t="n">
        <v>46409</v>
      </c>
      <c r="F36" s="16" t="n">
        <f aca="false">IF(OR(D36="",E36=""),"",NETWORKDAYS(D36,E36))</f>
        <v>5</v>
      </c>
      <c r="G36" s="16" t="s">
        <v>94</v>
      </c>
      <c r="H36" s="15" t="n">
        <v>0</v>
      </c>
      <c r="I36" s="14"/>
      <c r="J36" s="39" t="s">
        <v>140</v>
      </c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</row>
    <row r="37" customFormat="false" ht="19.5" hidden="false" customHeight="true" outlineLevel="0" collapsed="false">
      <c r="A37" s="38" t="s">
        <v>141</v>
      </c>
      <c r="B37" s="39" t="s">
        <v>142</v>
      </c>
      <c r="C37" s="16" t="s">
        <v>61</v>
      </c>
      <c r="D37" s="14" t="n">
        <v>46412</v>
      </c>
      <c r="E37" s="14" t="n">
        <v>46416</v>
      </c>
      <c r="F37" s="16" t="n">
        <f aca="false">IF(OR(D37="",E37=""),"",NETWORKDAYS(D37,E37))</f>
        <v>5</v>
      </c>
      <c r="G37" s="16" t="s">
        <v>94</v>
      </c>
      <c r="H37" s="15" t="n">
        <v>0</v>
      </c>
      <c r="I37" s="14"/>
      <c r="J37" s="39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</row>
    <row r="38" customFormat="false" ht="15" hidden="false" customHeight="false" outlineLevel="0" collapsed="false">
      <c r="A38" s="33" t="s">
        <v>143</v>
      </c>
      <c r="B38" s="33" t="s">
        <v>144</v>
      </c>
      <c r="C38" s="34"/>
      <c r="D38" s="35" t="n">
        <f aca="false">MIN(D39:D42)</f>
        <v>46419</v>
      </c>
      <c r="E38" s="35" t="n">
        <f aca="false">MAX(E39:E42)</f>
        <v>46437</v>
      </c>
      <c r="F38" s="34" t="n">
        <f aca="false">NETWORKDAYS(D38,E38)</f>
        <v>15</v>
      </c>
      <c r="G38" s="34" t="str">
        <f aca="false">IF(H38=1,"Done",IF(COUNTIF(G39:G42,"Blocked")&gt;0,"Blocked",IF(AND(H38=0,COUNTIF(G39:G42,"In Progress")=0),"Not Started","In Progress")))</f>
        <v>Not Started</v>
      </c>
      <c r="H38" s="36" t="n">
        <f aca="false">AVERAGE(H39:H42)</f>
        <v>0</v>
      </c>
      <c r="I38" s="34"/>
      <c r="J38" s="34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</row>
    <row r="39" customFormat="false" ht="19.5" hidden="false" customHeight="true" outlineLevel="0" collapsed="false">
      <c r="A39" s="38" t="s">
        <v>145</v>
      </c>
      <c r="B39" s="39" t="s">
        <v>146</v>
      </c>
      <c r="C39" s="16" t="s">
        <v>61</v>
      </c>
      <c r="D39" s="14" t="n">
        <v>46419</v>
      </c>
      <c r="E39" s="14" t="n">
        <v>46423</v>
      </c>
      <c r="F39" s="16" t="n">
        <f aca="false">IF(OR(D39="",E39=""),"",NETWORKDAYS(D39,E39))</f>
        <v>5</v>
      </c>
      <c r="G39" s="16" t="s">
        <v>94</v>
      </c>
      <c r="H39" s="15" t="n">
        <v>0</v>
      </c>
      <c r="I39" s="14"/>
      <c r="J39" s="39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</row>
    <row r="40" customFormat="false" ht="19.5" hidden="false" customHeight="true" outlineLevel="0" collapsed="false">
      <c r="A40" s="38" t="s">
        <v>147</v>
      </c>
      <c r="B40" s="39" t="s">
        <v>148</v>
      </c>
      <c r="C40" s="16" t="s">
        <v>149</v>
      </c>
      <c r="D40" s="14" t="n">
        <v>46426</v>
      </c>
      <c r="E40" s="14" t="n">
        <v>46430</v>
      </c>
      <c r="F40" s="16" t="n">
        <f aca="false">IF(OR(D40="",E40=""),"",NETWORKDAYS(D40,E40))</f>
        <v>5</v>
      </c>
      <c r="G40" s="16" t="s">
        <v>94</v>
      </c>
      <c r="H40" s="15" t="n">
        <v>0</v>
      </c>
      <c r="I40" s="14"/>
      <c r="J40" s="39" t="s">
        <v>150</v>
      </c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</row>
    <row r="41" customFormat="false" ht="19.5" hidden="false" customHeight="true" outlineLevel="0" collapsed="false">
      <c r="A41" s="38" t="s">
        <v>151</v>
      </c>
      <c r="B41" s="39" t="s">
        <v>152</v>
      </c>
      <c r="C41" s="16" t="s">
        <v>61</v>
      </c>
      <c r="D41" s="14" t="n">
        <v>46433</v>
      </c>
      <c r="E41" s="14" t="n">
        <v>46437</v>
      </c>
      <c r="F41" s="16" t="n">
        <f aca="false">IF(OR(D41="",E41=""),"",NETWORKDAYS(D41,E41))</f>
        <v>5</v>
      </c>
      <c r="G41" s="16" t="s">
        <v>94</v>
      </c>
      <c r="H41" s="15" t="n">
        <v>0</v>
      </c>
      <c r="I41" s="14"/>
      <c r="J41" s="39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</row>
    <row r="42" customFormat="false" ht="27" hidden="false" customHeight="true" outlineLevel="0" collapsed="false">
      <c r="A42" s="38" t="s">
        <v>153</v>
      </c>
      <c r="B42" s="39" t="s">
        <v>154</v>
      </c>
      <c r="C42" s="16" t="s">
        <v>33</v>
      </c>
      <c r="D42" s="14" t="n">
        <v>46433</v>
      </c>
      <c r="E42" s="14" t="n">
        <v>46437</v>
      </c>
      <c r="F42" s="16" t="n">
        <f aca="false">IF(OR(D42="",E42=""),"",NETWORKDAYS(D42,E42))</f>
        <v>5</v>
      </c>
      <c r="G42" s="16" t="s">
        <v>94</v>
      </c>
      <c r="H42" s="15" t="n">
        <v>0</v>
      </c>
      <c r="I42" s="14"/>
      <c r="J42" s="39" t="s">
        <v>155</v>
      </c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</row>
  </sheetData>
  <mergeCells count="6">
    <mergeCell ref="L4:N4"/>
    <mergeCell ref="O4:Q4"/>
    <mergeCell ref="R4:T4"/>
    <mergeCell ref="U4:W4"/>
    <mergeCell ref="X4:Z4"/>
    <mergeCell ref="AA4:AC4"/>
  </mergeCells>
  <conditionalFormatting sqref="L6:AH60">
    <cfRule type="expression" priority="2" aboveAverage="0" equalAverage="0" bottom="0" percent="0" rank="0" text="" dxfId="5">
      <formula>AND(LEFT($A6,1)="P",$D6&lt;&gt;"",$D6&lt;=L$5+6,$E6&gt;=L$5)</formula>
    </cfRule>
    <cfRule type="expression" priority="3" aboveAverage="0" equalAverage="0" bottom="0" percent="0" rank="0" text="" dxfId="6">
      <formula>AND($A6&lt;&gt;"",LEFT($A6,1)&lt;&gt;"P",$G6="Done",$D6&lt;&gt;"",$D6&lt;=L$5+6,$E6&gt;=L$5)</formula>
    </cfRule>
    <cfRule type="expression" priority="4" aboveAverage="0" equalAverage="0" bottom="0" percent="0" rank="0" text="" dxfId="7">
      <formula>AND($A6&lt;&gt;"",LEFT($A6,1)&lt;&gt;"P",$G6="Blocked",$D6&lt;&gt;"",$D6&lt;=L$5+6,$E6&gt;=L$5)</formula>
    </cfRule>
    <cfRule type="expression" priority="5" aboveAverage="0" equalAverage="0" bottom="0" percent="0" rank="0" text="" dxfId="8">
      <formula>AND($A6&lt;&gt;"",LEFT($A6,1)&lt;&gt;"P",$G6="In Progress",$D6&lt;&gt;"",$D6&lt;=L$5+6,$E6&gt;=L$5)</formula>
    </cfRule>
    <cfRule type="expression" priority="6" aboveAverage="0" equalAverage="0" bottom="0" percent="0" rank="0" text="" dxfId="9">
      <formula>AND($A6&lt;&gt;"",LEFT($A6,1)&lt;&gt;"P",$G6="On Hold",$D6&lt;&gt;"",$D6&lt;=L$5+6,$E6&gt;=L$5)</formula>
    </cfRule>
    <cfRule type="expression" priority="7" aboveAverage="0" equalAverage="0" bottom="0" percent="0" rank="0" text="" dxfId="10">
      <formula>AND($A6&lt;&gt;"",LEFT($A6,1)&lt;&gt;"P",$D6&lt;&gt;"",$D6&lt;=L$5+6,$E6&gt;=L$5)</formula>
    </cfRule>
  </conditionalFormatting>
  <conditionalFormatting sqref="L6:AH42">
    <cfRule type="expression" priority="8" aboveAverage="0" equalAverage="0" bottom="0" percent="0" rank="0" text="" dxfId="11">
      <formula>AND(TODAY()&gt;=L$5,TODAY()&lt;=L$5+6)</formula>
    </cfRule>
  </conditionalFormatting>
  <conditionalFormatting sqref="L5:AH5">
    <cfRule type="expression" priority="9" aboveAverage="0" equalAverage="0" bottom="0" percent="0" rank="0" text="" dxfId="12">
      <formula>AND(TODAY()&gt;=L$5,TODAY()&lt;=L$5+6)</formula>
    </cfRule>
  </conditionalFormatting>
  <conditionalFormatting sqref="G6:G42">
    <cfRule type="expression" priority="10" aboveAverage="0" equalAverage="0" bottom="0" percent="0" rank="0" text="" dxfId="0">
      <formula>AND(LEFT($A6,1)&lt;&gt;"P",$A6&lt;&gt;"",$G6="Done")</formula>
    </cfRule>
    <cfRule type="expression" priority="11" aboveAverage="0" equalAverage="0" bottom="0" percent="0" rank="0" text="" dxfId="1">
      <formula>AND(LEFT($A6,1)&lt;&gt;"P",$A6&lt;&gt;"",$G6="In Progress")</formula>
    </cfRule>
    <cfRule type="expression" priority="12" aboveAverage="0" equalAverage="0" bottom="0" percent="0" rank="0" text="" dxfId="3">
      <formula>AND(LEFT($A6,1)&lt;&gt;"P",$A6&lt;&gt;"",$G6="Not Started")</formula>
    </cfRule>
    <cfRule type="expression" priority="13" aboveAverage="0" equalAverage="0" bottom="0" percent="0" rank="0" text="" dxfId="2">
      <formula>AND(LEFT($A6,1)&lt;&gt;"P",$A6&lt;&gt;"",$G6="Blocked")</formula>
    </cfRule>
    <cfRule type="expression" priority="14" aboveAverage="0" equalAverage="0" bottom="0" percent="0" rank="0" text="" dxfId="4">
      <formula>AND(LEFT($A6,1)&lt;&gt;"P",$A6&lt;&gt;"",$G6="On Hold")</formula>
    </cfRule>
  </conditionalFormatting>
  <conditionalFormatting sqref="E6:E42">
    <cfRule type="expression" priority="15" aboveAverage="0" equalAverage="0" bottom="0" percent="0" rank="0" text="" dxfId="13">
      <formula>AND($A6&lt;&gt;"",LEFT($A6,1)&lt;&gt;"P",$G6&lt;&gt;"Done",$E6&lt;TODAY())</formula>
    </cfRule>
  </conditionalFormatting>
  <dataValidations count="3">
    <dataValidation allowBlank="true" error="Choose a status from the list." errorStyle="stop" errorTitle="Status" operator="between" showDropDown="false" showErrorMessage="true" showInputMessage="false" sqref="G7:G8 G10:G16 G18:G22 G24:G28 G30:G31 G33:G37 G39:G42" type="list">
      <formula1>"Done,In Progress,Not Started,Blocked,On Hold"</formula1>
      <formula2>0</formula2>
    </dataValidation>
    <dataValidation allowBlank="true" error="Enter a value between 0% and 100%." errorStyle="stop" errorTitle="% Done" operator="between" showDropDown="false" showErrorMessage="true" showInputMessage="false" sqref="H7:H8 H10:H16 H18:H22 H24:H28 H30:H31 H33:H37 H39:H42" type="decimal">
      <formula1>0</formula1>
      <formula2>1</formula2>
    </dataValidation>
    <dataValidation allowBlank="true" error="Enter a date such as 28/10/2026." errorStyle="stop" errorTitle="Date" operator="greaterThan" showDropDown="false" showErrorMessage="true" showInputMessage="false" sqref="D7:E8 I7:I8 D10:E16 I10:I16 D18:E22 I18:I22 D24:E28 I24:I28 D30:E31 I30:I31 D33:E37 I33:I37 D39:E42 I39:I42" type="date">
      <formula1>44927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true"/>
  </sheetPr>
  <dimension ref="A1:H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40"/>
    <col collapsed="false" customWidth="true" hidden="false" outlineLevel="0" max="4" min="4" style="0" width="12"/>
    <col collapsed="false" customWidth="true" hidden="false" outlineLevel="0" max="5" min="5" style="0" width="44"/>
    <col collapsed="false" customWidth="true" hidden="false" outlineLevel="0" max="6" min="6" style="0" width="38"/>
    <col collapsed="false" customWidth="true" hidden="false" outlineLevel="0" max="7" min="7" style="0" width="34"/>
    <col collapsed="false" customWidth="true" hidden="false" outlineLevel="0" max="8" min="8" style="0" width="30"/>
  </cols>
  <sheetData>
    <row r="1" customFormat="false" ht="19.7" hidden="false" customHeight="false" outlineLevel="0" collapsed="false">
      <c r="A1" s="21" t="s">
        <v>156</v>
      </c>
    </row>
    <row r="2" customFormat="false" ht="15" hidden="false" customHeight="false" outlineLevel="0" collapsed="false">
      <c r="A2" s="2" t="s">
        <v>157</v>
      </c>
    </row>
    <row r="4" customFormat="false" ht="27.75" hidden="false" customHeight="true" outlineLevel="0" collapsed="false">
      <c r="A4" s="31" t="s">
        <v>158</v>
      </c>
      <c r="B4" s="31" t="s">
        <v>159</v>
      </c>
      <c r="C4" s="31" t="s">
        <v>160</v>
      </c>
      <c r="D4" s="31" t="s">
        <v>161</v>
      </c>
      <c r="E4" s="31" t="s">
        <v>162</v>
      </c>
      <c r="F4" s="31" t="s">
        <v>163</v>
      </c>
      <c r="G4" s="31" t="s">
        <v>164</v>
      </c>
      <c r="H4" s="31" t="s">
        <v>165</v>
      </c>
    </row>
    <row r="5" customFormat="false" ht="27" hidden="false" customHeight="true" outlineLevel="0" collapsed="false">
      <c r="A5" s="40" t="n">
        <v>46297</v>
      </c>
      <c r="B5" s="41" t="s">
        <v>59</v>
      </c>
      <c r="C5" s="39" t="str">
        <f aca="false">IF(B5="","",IFERROR(INDEX(Plan!$B$6:$B$60,MATCH(B5,Plan!$A$6:$A$60,0)),"ID not found"))</f>
        <v>R&amp;D requirement study and system flow report</v>
      </c>
      <c r="D5" s="42" t="s">
        <v>166</v>
      </c>
      <c r="E5" s="39" t="s">
        <v>167</v>
      </c>
      <c r="F5" s="39"/>
      <c r="G5" s="39"/>
      <c r="H5" s="39"/>
    </row>
    <row r="6" customFormat="false" ht="19.5" hidden="false" customHeight="true" outlineLevel="0" collapsed="false">
      <c r="A6" s="40" t="n">
        <v>46297</v>
      </c>
      <c r="B6" s="41" t="s">
        <v>63</v>
      </c>
      <c r="C6" s="39" t="str">
        <f aca="false">IF(B6="","",IFERROR(INDEX(Plan!$B$6:$B$60,MATCH(B6,Plan!$A$6:$A$60,0)),"ID not found"))</f>
        <v>Clickable wireframe (six screens)</v>
      </c>
      <c r="D6" s="42" t="s">
        <v>166</v>
      </c>
      <c r="E6" s="39" t="s">
        <v>168</v>
      </c>
      <c r="F6" s="39"/>
      <c r="G6" s="39"/>
      <c r="H6" s="39"/>
    </row>
    <row r="7" customFormat="false" ht="27" hidden="false" customHeight="true" outlineLevel="0" collapsed="false">
      <c r="A7" s="40" t="n">
        <v>46317</v>
      </c>
      <c r="B7" s="41" t="s">
        <v>68</v>
      </c>
      <c r="C7" s="39" t="str">
        <f aca="false">IF(B7="","",IFERROR(INDEX(Plan!$B$6:$B$60,MATCH(B7,Plan!$A$6:$A$60,0)),"ID not found"))</f>
        <v>Workspace audit</v>
      </c>
      <c r="D7" s="42" t="s">
        <v>166</v>
      </c>
      <c r="E7" s="39" t="s">
        <v>169</v>
      </c>
      <c r="F7" s="39"/>
      <c r="G7" s="39"/>
      <c r="H7" s="39"/>
    </row>
    <row r="8" customFormat="false" ht="27" hidden="false" customHeight="true" outlineLevel="0" collapsed="false">
      <c r="A8" s="40" t="n">
        <v>46317</v>
      </c>
      <c r="B8" s="41" t="s">
        <v>71</v>
      </c>
      <c r="C8" s="39" t="str">
        <f aca="false">IF(B8="","",IFERROR(INDEX(Plan!$B$6:$B$60,MATCH(B8,Plan!$A$6:$A$60,0)),"ID not found"))</f>
        <v>Define structured data schema</v>
      </c>
      <c r="D8" s="42" t="s">
        <v>166</v>
      </c>
      <c r="E8" s="39" t="s">
        <v>170</v>
      </c>
      <c r="F8" s="39"/>
      <c r="G8" s="39"/>
      <c r="H8" s="39"/>
    </row>
    <row r="9" customFormat="false" ht="27" hidden="false" customHeight="true" outlineLevel="0" collapsed="false">
      <c r="A9" s="40" t="n">
        <v>46317</v>
      </c>
      <c r="B9" s="41" t="s">
        <v>74</v>
      </c>
      <c r="C9" s="39" t="str">
        <f aca="false">IF(B9="","",IFERROR(INDEX(Plan!$B$6:$B$60,MATCH(B9,Plan!$A$6:$A$60,0)),"ID not found"))</f>
        <v>Synthetic test set and answer key (10 text, 5 PDF, 2 incomplete files)</v>
      </c>
      <c r="D9" s="42" t="s">
        <v>166</v>
      </c>
      <c r="E9" s="39" t="s">
        <v>171</v>
      </c>
      <c r="F9" s="39" t="s">
        <v>172</v>
      </c>
      <c r="G9" s="39"/>
      <c r="H9" s="39"/>
    </row>
    <row r="10" customFormat="false" ht="27" hidden="false" customHeight="true" outlineLevel="0" collapsed="false">
      <c r="A10" s="40" t="n">
        <v>46317</v>
      </c>
      <c r="B10" s="41" t="s">
        <v>77</v>
      </c>
      <c r="C10" s="39" t="str">
        <f aca="false">IF(B10="","",IFERROR(INDEX(Plan!$B$6:$B$60,MATCH(B10,Plan!$A$6:$A$60,0)),"ID not found"))</f>
        <v>Document readers (text and digital PDF)</v>
      </c>
      <c r="D10" s="42" t="s">
        <v>166</v>
      </c>
      <c r="E10" s="39" t="s">
        <v>173</v>
      </c>
      <c r="F10" s="39"/>
      <c r="G10" s="39"/>
      <c r="H10" s="39"/>
    </row>
    <row r="11" customFormat="false" ht="27" hidden="false" customHeight="true" outlineLevel="0" collapsed="false">
      <c r="A11" s="40" t="n">
        <v>46317</v>
      </c>
      <c r="B11" s="41" t="s">
        <v>80</v>
      </c>
      <c r="C11" s="39" t="str">
        <f aca="false">IF(B11="","",IFERROR(INDEX(Plan!$B$6:$B$60,MATCH(B11,Plan!$A$6:$A$60,0)),"ID not found"))</f>
        <v>Rule-based extractor, validation and JSON output</v>
      </c>
      <c r="D11" s="42" t="s">
        <v>166</v>
      </c>
      <c r="E11" s="39" t="s">
        <v>174</v>
      </c>
      <c r="F11" s="39"/>
      <c r="G11" s="39"/>
      <c r="H11" s="39"/>
    </row>
    <row r="12" customFormat="false" ht="27" hidden="false" customHeight="true" outlineLevel="0" collapsed="false">
      <c r="A12" s="40" t="n">
        <v>46317</v>
      </c>
      <c r="B12" s="41" t="s">
        <v>83</v>
      </c>
      <c r="C12" s="39" t="str">
        <f aca="false">IF(B12="","",IFERROR(INDEX(Plan!$B$6:$B$60,MATCH(B12,Plan!$A$6:$A$60,0)),"ID not found"))</f>
        <v>Evaluation on synthetic set</v>
      </c>
      <c r="D12" s="42" t="s">
        <v>166</v>
      </c>
      <c r="E12" s="39" t="s">
        <v>175</v>
      </c>
      <c r="F12" s="39" t="s">
        <v>176</v>
      </c>
      <c r="G12" s="39" t="s">
        <v>177</v>
      </c>
      <c r="H12" s="39"/>
    </row>
    <row r="13" customFormat="false" ht="81" hidden="false" customHeight="true" outlineLevel="0" collapsed="false">
      <c r="A13" s="40" t="n">
        <v>46323</v>
      </c>
      <c r="B13" s="41" t="s">
        <v>86</v>
      </c>
      <c r="C13" s="39" t="str">
        <f aca="false">IF(B13="","",IFERROR(INDEX(Plan!$B$6:$B$60,MATCH(B13,Plan!$A$6:$A$60,0)),"ID not found"))</f>
        <v>Source control: GitHub organisation and repository</v>
      </c>
      <c r="D13" s="42" t="s">
        <v>178</v>
      </c>
      <c r="E13" s="39" t="s">
        <v>179</v>
      </c>
      <c r="F13" s="39" t="s">
        <v>180</v>
      </c>
      <c r="G13" s="39" t="s">
        <v>181</v>
      </c>
      <c r="H13" s="39"/>
    </row>
    <row r="14" customFormat="false" ht="40.5" hidden="false" customHeight="true" outlineLevel="0" collapsed="false">
      <c r="A14" s="40" t="n">
        <v>46323</v>
      </c>
      <c r="B14" s="41" t="s">
        <v>101</v>
      </c>
      <c r="C14" s="39" t="str">
        <f aca="false">IF(B14="","",IFERROR(INDEX(Plan!$B$6:$B$60,MATCH(B14,Plan!$A$6:$A$60,0)),"ID not found"))</f>
        <v>README, setup guide and security notes</v>
      </c>
      <c r="D14" s="42" t="s">
        <v>178</v>
      </c>
      <c r="E14" s="39" t="s">
        <v>182</v>
      </c>
      <c r="F14" s="39" t="s">
        <v>183</v>
      </c>
      <c r="G14" s="39" t="s">
        <v>184</v>
      </c>
      <c r="H14" s="39"/>
    </row>
    <row r="15" customFormat="false" ht="67.5" hidden="false" customHeight="true" outlineLevel="0" collapsed="false">
      <c r="A15" s="40" t="n">
        <v>46323</v>
      </c>
      <c r="B15" s="41" t="s">
        <v>83</v>
      </c>
      <c r="C15" s="39" t="str">
        <f aca="false">IF(B15="","",IFERROR(INDEX(Plan!$B$6:$B$60,MATCH(B15,Plan!$A$6:$A$60,0)),"ID not found"))</f>
        <v>Evaluation on synthetic set</v>
      </c>
      <c r="D15" s="42" t="s">
        <v>166</v>
      </c>
      <c r="E15" s="39" t="s">
        <v>185</v>
      </c>
      <c r="F15" s="39" t="s">
        <v>186</v>
      </c>
      <c r="G15" s="39" t="s">
        <v>187</v>
      </c>
      <c r="H15" s="39"/>
    </row>
    <row r="16" customFormat="false" ht="15" hidden="false" customHeight="false" outlineLevel="0" collapsed="false">
      <c r="A16" s="40"/>
      <c r="B16" s="41"/>
      <c r="C16" s="39" t="str">
        <f aca="false">IF(B16="","",IFERROR(INDEX(Plan!$B$6:$B$60,MATCH(B16,Plan!$A$6:$A$60,0)),"ID not found"))</f>
        <v/>
      </c>
      <c r="D16" s="42"/>
      <c r="E16" s="39"/>
      <c r="F16" s="39"/>
      <c r="G16" s="39"/>
      <c r="H16" s="39"/>
    </row>
    <row r="17" customFormat="false" ht="15" hidden="false" customHeight="false" outlineLevel="0" collapsed="false">
      <c r="A17" s="40"/>
      <c r="B17" s="41"/>
      <c r="C17" s="39" t="str">
        <f aca="false">IF(B17="","",IFERROR(INDEX(Plan!$B$6:$B$60,MATCH(B17,Plan!$A$6:$A$60,0)),"ID not found"))</f>
        <v/>
      </c>
      <c r="D17" s="42"/>
      <c r="E17" s="39"/>
      <c r="F17" s="39"/>
      <c r="G17" s="39"/>
      <c r="H17" s="39"/>
    </row>
    <row r="18" customFormat="false" ht="15" hidden="false" customHeight="false" outlineLevel="0" collapsed="false">
      <c r="A18" s="40"/>
      <c r="B18" s="41"/>
      <c r="C18" s="39" t="str">
        <f aca="false">IF(B18="","",IFERROR(INDEX(Plan!$B$6:$B$60,MATCH(B18,Plan!$A$6:$A$60,0)),"ID not found"))</f>
        <v/>
      </c>
      <c r="D18" s="42"/>
      <c r="E18" s="39"/>
      <c r="F18" s="39"/>
      <c r="G18" s="39"/>
      <c r="H18" s="39"/>
    </row>
    <row r="19" customFormat="false" ht="15" hidden="false" customHeight="false" outlineLevel="0" collapsed="false">
      <c r="A19" s="40"/>
      <c r="B19" s="41"/>
      <c r="C19" s="39" t="str">
        <f aca="false">IF(B19="","",IFERROR(INDEX(Plan!$B$6:$B$60,MATCH(B19,Plan!$A$6:$A$60,0)),"ID not found"))</f>
        <v/>
      </c>
      <c r="D19" s="42"/>
      <c r="E19" s="39"/>
      <c r="F19" s="39"/>
      <c r="G19" s="39"/>
      <c r="H19" s="39"/>
    </row>
    <row r="20" customFormat="false" ht="15" hidden="false" customHeight="false" outlineLevel="0" collapsed="false">
      <c r="A20" s="40"/>
      <c r="B20" s="41"/>
      <c r="C20" s="39" t="str">
        <f aca="false">IF(B20="","",IFERROR(INDEX(Plan!$B$6:$B$60,MATCH(B20,Plan!$A$6:$A$60,0)),"ID not found"))</f>
        <v/>
      </c>
      <c r="D20" s="42"/>
      <c r="E20" s="39"/>
      <c r="F20" s="39"/>
      <c r="G20" s="39"/>
      <c r="H20" s="39"/>
    </row>
    <row r="21" customFormat="false" ht="15" hidden="false" customHeight="false" outlineLevel="0" collapsed="false">
      <c r="A21" s="40"/>
      <c r="B21" s="41"/>
      <c r="C21" s="39" t="str">
        <f aca="false">IF(B21="","",IFERROR(INDEX(Plan!$B$6:$B$60,MATCH(B21,Plan!$A$6:$A$60,0)),"ID not found"))</f>
        <v/>
      </c>
      <c r="D21" s="42"/>
      <c r="E21" s="39"/>
      <c r="F21" s="39"/>
      <c r="G21" s="39"/>
      <c r="H21" s="39"/>
    </row>
    <row r="22" customFormat="false" ht="15" hidden="false" customHeight="false" outlineLevel="0" collapsed="false">
      <c r="A22" s="40"/>
      <c r="B22" s="41"/>
      <c r="C22" s="39" t="str">
        <f aca="false">IF(B22="","",IFERROR(INDEX(Plan!$B$6:$B$60,MATCH(B22,Plan!$A$6:$A$60,0)),"ID not found"))</f>
        <v/>
      </c>
      <c r="D22" s="42"/>
      <c r="E22" s="39"/>
      <c r="F22" s="39"/>
      <c r="G22" s="39"/>
      <c r="H22" s="39"/>
    </row>
    <row r="23" customFormat="false" ht="15" hidden="false" customHeight="false" outlineLevel="0" collapsed="false">
      <c r="A23" s="40"/>
      <c r="B23" s="41"/>
      <c r="C23" s="39" t="str">
        <f aca="false">IF(B23="","",IFERROR(INDEX(Plan!$B$6:$B$60,MATCH(B23,Plan!$A$6:$A$60,0)),"ID not found"))</f>
        <v/>
      </c>
      <c r="D23" s="42"/>
      <c r="E23" s="39"/>
      <c r="F23" s="39"/>
      <c r="G23" s="39"/>
      <c r="H23" s="39"/>
    </row>
    <row r="24" customFormat="false" ht="15" hidden="false" customHeight="false" outlineLevel="0" collapsed="false">
      <c r="A24" s="40"/>
      <c r="B24" s="41"/>
      <c r="C24" s="39" t="str">
        <f aca="false">IF(B24="","",IFERROR(INDEX(Plan!$B$6:$B$60,MATCH(B24,Plan!$A$6:$A$60,0)),"ID not found"))</f>
        <v/>
      </c>
      <c r="D24" s="42"/>
      <c r="E24" s="39"/>
      <c r="F24" s="39"/>
      <c r="G24" s="39"/>
      <c r="H24" s="39"/>
    </row>
    <row r="25" customFormat="false" ht="15" hidden="false" customHeight="false" outlineLevel="0" collapsed="false">
      <c r="A25" s="40"/>
      <c r="B25" s="41"/>
      <c r="C25" s="39" t="str">
        <f aca="false">IF(B25="","",IFERROR(INDEX(Plan!$B$6:$B$60,MATCH(B25,Plan!$A$6:$A$60,0)),"ID not found"))</f>
        <v/>
      </c>
      <c r="D25" s="42"/>
      <c r="E25" s="39"/>
      <c r="F25" s="39"/>
      <c r="G25" s="39"/>
      <c r="H25" s="39"/>
    </row>
    <row r="26" customFormat="false" ht="15" hidden="false" customHeight="false" outlineLevel="0" collapsed="false">
      <c r="A26" s="40"/>
      <c r="B26" s="41"/>
      <c r="C26" s="39" t="str">
        <f aca="false">IF(B26="","",IFERROR(INDEX(Plan!$B$6:$B$60,MATCH(B26,Plan!$A$6:$A$60,0)),"ID not found"))</f>
        <v/>
      </c>
      <c r="D26" s="42"/>
      <c r="E26" s="39"/>
      <c r="F26" s="39"/>
      <c r="G26" s="39"/>
      <c r="H26" s="39"/>
    </row>
    <row r="27" customFormat="false" ht="15" hidden="false" customHeight="false" outlineLevel="0" collapsed="false">
      <c r="A27" s="40"/>
      <c r="B27" s="41"/>
      <c r="C27" s="39" t="str">
        <f aca="false">IF(B27="","",IFERROR(INDEX(Plan!$B$6:$B$60,MATCH(B27,Plan!$A$6:$A$60,0)),"ID not found"))</f>
        <v/>
      </c>
      <c r="D27" s="42"/>
      <c r="E27" s="39"/>
      <c r="F27" s="39"/>
      <c r="G27" s="39"/>
      <c r="H27" s="39"/>
    </row>
    <row r="28" customFormat="false" ht="15" hidden="false" customHeight="false" outlineLevel="0" collapsed="false">
      <c r="A28" s="40"/>
      <c r="B28" s="41"/>
      <c r="C28" s="39" t="str">
        <f aca="false">IF(B28="","",IFERROR(INDEX(Plan!$B$6:$B$60,MATCH(B28,Plan!$A$6:$A$60,0)),"ID not found"))</f>
        <v/>
      </c>
      <c r="D28" s="42"/>
      <c r="E28" s="39"/>
      <c r="F28" s="39"/>
      <c r="G28" s="39"/>
      <c r="H28" s="39"/>
    </row>
    <row r="29" customFormat="false" ht="15" hidden="false" customHeight="false" outlineLevel="0" collapsed="false">
      <c r="A29" s="40"/>
      <c r="B29" s="41"/>
      <c r="C29" s="39" t="str">
        <f aca="false">IF(B29="","",IFERROR(INDEX(Plan!$B$6:$B$60,MATCH(B29,Plan!$A$6:$A$60,0)),"ID not found"))</f>
        <v/>
      </c>
      <c r="D29" s="42"/>
      <c r="E29" s="39"/>
      <c r="F29" s="39"/>
      <c r="G29" s="39"/>
      <c r="H29" s="39"/>
    </row>
    <row r="30" customFormat="false" ht="15" hidden="false" customHeight="false" outlineLevel="0" collapsed="false">
      <c r="A30" s="40"/>
      <c r="B30" s="41"/>
      <c r="C30" s="39" t="str">
        <f aca="false">IF(B30="","",IFERROR(INDEX(Plan!$B$6:$B$60,MATCH(B30,Plan!$A$6:$A$60,0)),"ID not found"))</f>
        <v/>
      </c>
      <c r="D30" s="42"/>
      <c r="E30" s="39"/>
      <c r="F30" s="39"/>
      <c r="G30" s="39"/>
      <c r="H30" s="39"/>
    </row>
    <row r="31" customFormat="false" ht="15" hidden="false" customHeight="false" outlineLevel="0" collapsed="false">
      <c r="A31" s="40"/>
      <c r="B31" s="41"/>
      <c r="C31" s="39" t="str">
        <f aca="false">IF(B31="","",IFERROR(INDEX(Plan!$B$6:$B$60,MATCH(B31,Plan!$A$6:$A$60,0)),"ID not found"))</f>
        <v/>
      </c>
      <c r="D31" s="42"/>
      <c r="E31" s="39"/>
      <c r="F31" s="39"/>
      <c r="G31" s="39"/>
      <c r="H31" s="39"/>
    </row>
    <row r="32" customFormat="false" ht="15" hidden="false" customHeight="false" outlineLevel="0" collapsed="false">
      <c r="A32" s="40"/>
      <c r="B32" s="41"/>
      <c r="C32" s="39" t="str">
        <f aca="false">IF(B32="","",IFERROR(INDEX(Plan!$B$6:$B$60,MATCH(B32,Plan!$A$6:$A$60,0)),"ID not found"))</f>
        <v/>
      </c>
      <c r="D32" s="42"/>
      <c r="E32" s="39"/>
      <c r="F32" s="39"/>
      <c r="G32" s="39"/>
      <c r="H32" s="39"/>
    </row>
    <row r="33" customFormat="false" ht="15" hidden="false" customHeight="false" outlineLevel="0" collapsed="false">
      <c r="A33" s="40"/>
      <c r="B33" s="41"/>
      <c r="C33" s="39" t="str">
        <f aca="false">IF(B33="","",IFERROR(INDEX(Plan!$B$6:$B$60,MATCH(B33,Plan!$A$6:$A$60,0)),"ID not found"))</f>
        <v/>
      </c>
      <c r="D33" s="42"/>
      <c r="E33" s="39"/>
      <c r="F33" s="39"/>
      <c r="G33" s="39"/>
      <c r="H33" s="39"/>
    </row>
    <row r="34" customFormat="false" ht="15" hidden="false" customHeight="false" outlineLevel="0" collapsed="false">
      <c r="A34" s="40"/>
      <c r="B34" s="41"/>
      <c r="C34" s="39" t="str">
        <f aca="false">IF(B34="","",IFERROR(INDEX(Plan!$B$6:$B$60,MATCH(B34,Plan!$A$6:$A$60,0)),"ID not found"))</f>
        <v/>
      </c>
      <c r="D34" s="42"/>
      <c r="E34" s="39"/>
      <c r="F34" s="39"/>
      <c r="G34" s="39"/>
      <c r="H34" s="39"/>
    </row>
    <row r="35" customFormat="false" ht="15" hidden="false" customHeight="false" outlineLevel="0" collapsed="false">
      <c r="A35" s="40"/>
      <c r="B35" s="41"/>
      <c r="C35" s="39" t="str">
        <f aca="false">IF(B35="","",IFERROR(INDEX(Plan!$B$6:$B$60,MATCH(B35,Plan!$A$6:$A$60,0)),"ID not found"))</f>
        <v/>
      </c>
      <c r="D35" s="42"/>
      <c r="E35" s="39"/>
      <c r="F35" s="39"/>
      <c r="G35" s="39"/>
      <c r="H35" s="39"/>
    </row>
    <row r="36" customFormat="false" ht="15" hidden="false" customHeight="false" outlineLevel="0" collapsed="false">
      <c r="A36" s="40"/>
      <c r="B36" s="41"/>
      <c r="C36" s="39" t="str">
        <f aca="false">IF(B36="","",IFERROR(INDEX(Plan!$B$6:$B$60,MATCH(B36,Plan!$A$6:$A$60,0)),"ID not found"))</f>
        <v/>
      </c>
      <c r="D36" s="42"/>
      <c r="E36" s="39"/>
      <c r="F36" s="39"/>
      <c r="G36" s="39"/>
      <c r="H36" s="39"/>
    </row>
    <row r="37" customFormat="false" ht="15" hidden="false" customHeight="false" outlineLevel="0" collapsed="false">
      <c r="A37" s="40"/>
      <c r="B37" s="41"/>
      <c r="C37" s="39" t="str">
        <f aca="false">IF(B37="","",IFERROR(INDEX(Plan!$B$6:$B$60,MATCH(B37,Plan!$A$6:$A$60,0)),"ID not found"))</f>
        <v/>
      </c>
      <c r="D37" s="42"/>
      <c r="E37" s="39"/>
      <c r="F37" s="39"/>
      <c r="G37" s="39"/>
      <c r="H37" s="39"/>
    </row>
    <row r="38" customFormat="false" ht="15" hidden="false" customHeight="false" outlineLevel="0" collapsed="false">
      <c r="A38" s="40"/>
      <c r="B38" s="41"/>
      <c r="C38" s="39" t="str">
        <f aca="false">IF(B38="","",IFERROR(INDEX(Plan!$B$6:$B$60,MATCH(B38,Plan!$A$6:$A$60,0)),"ID not found"))</f>
        <v/>
      </c>
      <c r="D38" s="42"/>
      <c r="E38" s="39"/>
      <c r="F38" s="39"/>
      <c r="G38" s="39"/>
      <c r="H38" s="39"/>
    </row>
    <row r="39" customFormat="false" ht="15" hidden="false" customHeight="false" outlineLevel="0" collapsed="false">
      <c r="A39" s="40"/>
      <c r="B39" s="41"/>
      <c r="C39" s="39" t="str">
        <f aca="false">IF(B39="","",IFERROR(INDEX(Plan!$B$6:$B$60,MATCH(B39,Plan!$A$6:$A$60,0)),"ID not found"))</f>
        <v/>
      </c>
      <c r="D39" s="42"/>
      <c r="E39" s="39"/>
      <c r="F39" s="39"/>
      <c r="G39" s="39"/>
      <c r="H39" s="39"/>
    </row>
    <row r="40" customFormat="false" ht="15" hidden="false" customHeight="false" outlineLevel="0" collapsed="false">
      <c r="A40" s="40"/>
      <c r="B40" s="41"/>
      <c r="C40" s="39" t="str">
        <f aca="false">IF(B40="","",IFERROR(INDEX(Plan!$B$6:$B$60,MATCH(B40,Plan!$A$6:$A$60,0)),"ID not found"))</f>
        <v/>
      </c>
      <c r="D40" s="42"/>
      <c r="E40" s="39"/>
      <c r="F40" s="39"/>
      <c r="G40" s="39"/>
      <c r="H40" s="39"/>
    </row>
    <row r="41" customFormat="false" ht="15" hidden="false" customHeight="false" outlineLevel="0" collapsed="false">
      <c r="A41" s="40"/>
      <c r="B41" s="41"/>
      <c r="C41" s="39" t="str">
        <f aca="false">IF(B41="","",IFERROR(INDEX(Plan!$B$6:$B$60,MATCH(B41,Plan!$A$6:$A$60,0)),"ID not found"))</f>
        <v/>
      </c>
      <c r="D41" s="42"/>
      <c r="E41" s="39"/>
      <c r="F41" s="39"/>
      <c r="G41" s="39"/>
      <c r="H41" s="39"/>
    </row>
    <row r="42" customFormat="false" ht="15" hidden="false" customHeight="false" outlineLevel="0" collapsed="false">
      <c r="A42" s="40"/>
      <c r="B42" s="41"/>
      <c r="C42" s="39" t="str">
        <f aca="false">IF(B42="","",IFERROR(INDEX(Plan!$B$6:$B$60,MATCH(B42,Plan!$A$6:$A$60,0)),"ID not found"))</f>
        <v/>
      </c>
      <c r="D42" s="42"/>
      <c r="E42" s="39"/>
      <c r="F42" s="39"/>
      <c r="G42" s="39"/>
      <c r="H42" s="39"/>
    </row>
    <row r="43" customFormat="false" ht="15" hidden="false" customHeight="false" outlineLevel="0" collapsed="false">
      <c r="A43" s="40"/>
      <c r="B43" s="41"/>
      <c r="C43" s="39" t="str">
        <f aca="false">IF(B43="","",IFERROR(INDEX(Plan!$B$6:$B$60,MATCH(B43,Plan!$A$6:$A$60,0)),"ID not found"))</f>
        <v/>
      </c>
      <c r="D43" s="42"/>
      <c r="E43" s="39"/>
      <c r="F43" s="39"/>
      <c r="G43" s="39"/>
      <c r="H43" s="39"/>
    </row>
    <row r="44" customFormat="false" ht="15" hidden="false" customHeight="false" outlineLevel="0" collapsed="false">
      <c r="A44" s="40"/>
      <c r="B44" s="41"/>
      <c r="C44" s="39" t="str">
        <f aca="false">IF(B44="","",IFERROR(INDEX(Plan!$B$6:$B$60,MATCH(B44,Plan!$A$6:$A$60,0)),"ID not found"))</f>
        <v/>
      </c>
      <c r="D44" s="42"/>
      <c r="E44" s="39"/>
      <c r="F44" s="39"/>
      <c r="G44" s="39"/>
      <c r="H44" s="39"/>
    </row>
    <row r="45" customFormat="false" ht="15" hidden="false" customHeight="false" outlineLevel="0" collapsed="false">
      <c r="A45" s="40"/>
      <c r="B45" s="41"/>
      <c r="C45" s="39" t="str">
        <f aca="false">IF(B45="","",IFERROR(INDEX(Plan!$B$6:$B$60,MATCH(B45,Plan!$A$6:$A$60,0)),"ID not found"))</f>
        <v/>
      </c>
      <c r="D45" s="42"/>
      <c r="E45" s="39"/>
      <c r="F45" s="39"/>
      <c r="G45" s="39"/>
      <c r="H45" s="39"/>
    </row>
    <row r="46" customFormat="false" ht="15" hidden="false" customHeight="false" outlineLevel="0" collapsed="false">
      <c r="A46" s="40"/>
      <c r="B46" s="41"/>
      <c r="C46" s="39" t="str">
        <f aca="false">IF(B46="","",IFERROR(INDEX(Plan!$B$6:$B$60,MATCH(B46,Plan!$A$6:$A$60,0)),"ID not found"))</f>
        <v/>
      </c>
      <c r="D46" s="42"/>
      <c r="E46" s="39"/>
      <c r="F46" s="39"/>
      <c r="G46" s="39"/>
      <c r="H46" s="39"/>
    </row>
    <row r="47" customFormat="false" ht="15" hidden="false" customHeight="false" outlineLevel="0" collapsed="false">
      <c r="A47" s="40"/>
      <c r="B47" s="41"/>
      <c r="C47" s="39" t="str">
        <f aca="false">IF(B47="","",IFERROR(INDEX(Plan!$B$6:$B$60,MATCH(B47,Plan!$A$6:$A$60,0)),"ID not found"))</f>
        <v/>
      </c>
      <c r="D47" s="42"/>
      <c r="E47" s="39"/>
      <c r="F47" s="39"/>
      <c r="G47" s="39"/>
      <c r="H47" s="39"/>
    </row>
    <row r="48" customFormat="false" ht="15" hidden="false" customHeight="false" outlineLevel="0" collapsed="false">
      <c r="A48" s="40"/>
      <c r="B48" s="41"/>
      <c r="C48" s="39" t="str">
        <f aca="false">IF(B48="","",IFERROR(INDEX(Plan!$B$6:$B$60,MATCH(B48,Plan!$A$6:$A$60,0)),"ID not found"))</f>
        <v/>
      </c>
      <c r="D48" s="42"/>
      <c r="E48" s="39"/>
      <c r="F48" s="39"/>
      <c r="G48" s="39"/>
      <c r="H48" s="39"/>
    </row>
    <row r="49" customFormat="false" ht="15" hidden="false" customHeight="false" outlineLevel="0" collapsed="false">
      <c r="A49" s="40"/>
      <c r="B49" s="41"/>
      <c r="C49" s="39" t="str">
        <f aca="false">IF(B49="","",IFERROR(INDEX(Plan!$B$6:$B$60,MATCH(B49,Plan!$A$6:$A$60,0)),"ID not found"))</f>
        <v/>
      </c>
      <c r="D49" s="42"/>
      <c r="E49" s="39"/>
      <c r="F49" s="39"/>
      <c r="G49" s="39"/>
      <c r="H49" s="39"/>
    </row>
    <row r="50" customFormat="false" ht="15" hidden="false" customHeight="false" outlineLevel="0" collapsed="false">
      <c r="A50" s="40"/>
      <c r="B50" s="41"/>
      <c r="C50" s="39" t="str">
        <f aca="false">IF(B50="","",IFERROR(INDEX(Plan!$B$6:$B$60,MATCH(B50,Plan!$A$6:$A$60,0)),"ID not found"))</f>
        <v/>
      </c>
      <c r="D50" s="42"/>
      <c r="E50" s="39"/>
      <c r="F50" s="39"/>
      <c r="G50" s="39"/>
      <c r="H50" s="39"/>
    </row>
    <row r="51" customFormat="false" ht="15" hidden="false" customHeight="false" outlineLevel="0" collapsed="false">
      <c r="A51" s="40"/>
      <c r="B51" s="41"/>
      <c r="C51" s="39" t="str">
        <f aca="false">IF(B51="","",IFERROR(INDEX(Plan!$B$6:$B$60,MATCH(B51,Plan!$A$6:$A$60,0)),"ID not found"))</f>
        <v/>
      </c>
      <c r="D51" s="42"/>
      <c r="E51" s="39"/>
      <c r="F51" s="39"/>
      <c r="G51" s="39"/>
      <c r="H51" s="39"/>
    </row>
    <row r="52" customFormat="false" ht="15" hidden="false" customHeight="false" outlineLevel="0" collapsed="false">
      <c r="A52" s="40"/>
      <c r="B52" s="41"/>
      <c r="C52" s="39" t="str">
        <f aca="false">IF(B52="","",IFERROR(INDEX(Plan!$B$6:$B$60,MATCH(B52,Plan!$A$6:$A$60,0)),"ID not found"))</f>
        <v/>
      </c>
      <c r="D52" s="42"/>
      <c r="E52" s="39"/>
      <c r="F52" s="39"/>
      <c r="G52" s="39"/>
      <c r="H52" s="39"/>
    </row>
    <row r="53" customFormat="false" ht="15" hidden="false" customHeight="false" outlineLevel="0" collapsed="false">
      <c r="A53" s="40"/>
      <c r="B53" s="41"/>
      <c r="C53" s="39" t="str">
        <f aca="false">IF(B53="","",IFERROR(INDEX(Plan!$B$6:$B$60,MATCH(B53,Plan!$A$6:$A$60,0)),"ID not found"))</f>
        <v/>
      </c>
      <c r="D53" s="42"/>
      <c r="E53" s="39"/>
      <c r="F53" s="39"/>
      <c r="G53" s="39"/>
      <c r="H53" s="39"/>
    </row>
    <row r="54" customFormat="false" ht="15" hidden="false" customHeight="false" outlineLevel="0" collapsed="false">
      <c r="A54" s="40"/>
      <c r="B54" s="41"/>
      <c r="C54" s="39" t="str">
        <f aca="false">IF(B54="","",IFERROR(INDEX(Plan!$B$6:$B$60,MATCH(B54,Plan!$A$6:$A$60,0)),"ID not found"))</f>
        <v/>
      </c>
      <c r="D54" s="42"/>
      <c r="E54" s="39"/>
      <c r="F54" s="39"/>
      <c r="G54" s="39"/>
      <c r="H54" s="39"/>
    </row>
    <row r="55" customFormat="false" ht="15" hidden="false" customHeight="false" outlineLevel="0" collapsed="false">
      <c r="A55" s="40"/>
      <c r="B55" s="41"/>
      <c r="C55" s="39" t="str">
        <f aca="false">IF(B55="","",IFERROR(INDEX(Plan!$B$6:$B$60,MATCH(B55,Plan!$A$6:$A$60,0)),"ID not found"))</f>
        <v/>
      </c>
      <c r="D55" s="42"/>
      <c r="E55" s="39"/>
      <c r="F55" s="39"/>
      <c r="G55" s="39"/>
      <c r="H55" s="39"/>
    </row>
    <row r="56" customFormat="false" ht="15" hidden="false" customHeight="false" outlineLevel="0" collapsed="false">
      <c r="A56" s="40"/>
      <c r="B56" s="41"/>
      <c r="C56" s="39" t="str">
        <f aca="false">IF(B56="","",IFERROR(INDEX(Plan!$B$6:$B$60,MATCH(B56,Plan!$A$6:$A$60,0)),"ID not found"))</f>
        <v/>
      </c>
      <c r="D56" s="42"/>
      <c r="E56" s="39"/>
      <c r="F56" s="39"/>
      <c r="G56" s="39"/>
      <c r="H56" s="39"/>
    </row>
    <row r="57" customFormat="false" ht="15" hidden="false" customHeight="false" outlineLevel="0" collapsed="false">
      <c r="A57" s="40"/>
      <c r="B57" s="41"/>
      <c r="C57" s="39" t="str">
        <f aca="false">IF(B57="","",IFERROR(INDEX(Plan!$B$6:$B$60,MATCH(B57,Plan!$A$6:$A$60,0)),"ID not found"))</f>
        <v/>
      </c>
      <c r="D57" s="42"/>
      <c r="E57" s="39"/>
      <c r="F57" s="39"/>
      <c r="G57" s="39"/>
      <c r="H57" s="39"/>
    </row>
    <row r="58" customFormat="false" ht="15" hidden="false" customHeight="false" outlineLevel="0" collapsed="false">
      <c r="A58" s="40"/>
      <c r="B58" s="41"/>
      <c r="C58" s="39" t="str">
        <f aca="false">IF(B58="","",IFERROR(INDEX(Plan!$B$6:$B$60,MATCH(B58,Plan!$A$6:$A$60,0)),"ID not found"))</f>
        <v/>
      </c>
      <c r="D58" s="42"/>
      <c r="E58" s="39"/>
      <c r="F58" s="39"/>
      <c r="G58" s="39"/>
      <c r="H58" s="39"/>
    </row>
    <row r="59" customFormat="false" ht="15" hidden="false" customHeight="false" outlineLevel="0" collapsed="false">
      <c r="A59" s="40"/>
      <c r="B59" s="41"/>
      <c r="C59" s="39" t="str">
        <f aca="false">IF(B59="","",IFERROR(INDEX(Plan!$B$6:$B$60,MATCH(B59,Plan!$A$6:$A$60,0)),"ID not found"))</f>
        <v/>
      </c>
      <c r="D59" s="42"/>
      <c r="E59" s="39"/>
      <c r="F59" s="39"/>
      <c r="G59" s="39"/>
      <c r="H59" s="39"/>
    </row>
    <row r="60" customFormat="false" ht="15" hidden="false" customHeight="false" outlineLevel="0" collapsed="false">
      <c r="A60" s="40"/>
      <c r="B60" s="41"/>
      <c r="C60" s="39" t="str">
        <f aca="false">IF(B60="","",IFERROR(INDEX(Plan!$B$6:$B$60,MATCH(B60,Plan!$A$6:$A$60,0)),"ID not found"))</f>
        <v/>
      </c>
      <c r="D60" s="42"/>
      <c r="E60" s="39"/>
      <c r="F60" s="39"/>
      <c r="G60" s="39"/>
      <c r="H60" s="39"/>
    </row>
    <row r="61" customFormat="false" ht="15" hidden="false" customHeight="false" outlineLevel="0" collapsed="false">
      <c r="A61" s="40"/>
      <c r="B61" s="41"/>
      <c r="C61" s="39" t="str">
        <f aca="false">IF(B61="","",IFERROR(INDEX(Plan!$B$6:$B$60,MATCH(B61,Plan!$A$6:$A$60,0)),"ID not found"))</f>
        <v/>
      </c>
      <c r="D61" s="42"/>
      <c r="E61" s="39"/>
      <c r="F61" s="39"/>
      <c r="G61" s="39"/>
      <c r="H61" s="39"/>
    </row>
    <row r="62" customFormat="false" ht="15" hidden="false" customHeight="false" outlineLevel="0" collapsed="false">
      <c r="A62" s="40"/>
      <c r="B62" s="41"/>
      <c r="C62" s="39" t="str">
        <f aca="false">IF(B62="","",IFERROR(INDEX(Plan!$B$6:$B$60,MATCH(B62,Plan!$A$6:$A$60,0)),"ID not found"))</f>
        <v/>
      </c>
      <c r="D62" s="42"/>
      <c r="E62" s="39"/>
      <c r="F62" s="39"/>
      <c r="G62" s="39"/>
      <c r="H62" s="39"/>
    </row>
    <row r="63" customFormat="false" ht="15" hidden="false" customHeight="false" outlineLevel="0" collapsed="false">
      <c r="A63" s="40"/>
      <c r="B63" s="41"/>
      <c r="C63" s="39" t="str">
        <f aca="false">IF(B63="","",IFERROR(INDEX(Plan!$B$6:$B$60,MATCH(B63,Plan!$A$6:$A$60,0)),"ID not found"))</f>
        <v/>
      </c>
      <c r="D63" s="42"/>
      <c r="E63" s="39"/>
      <c r="F63" s="39"/>
      <c r="G63" s="39"/>
      <c r="H63" s="39"/>
    </row>
    <row r="64" customFormat="false" ht="15" hidden="false" customHeight="false" outlineLevel="0" collapsed="false">
      <c r="A64" s="40"/>
      <c r="B64" s="41"/>
      <c r="C64" s="39" t="str">
        <f aca="false">IF(B64="","",IFERROR(INDEX(Plan!$B$6:$B$60,MATCH(B64,Plan!$A$6:$A$60,0)),"ID not found"))</f>
        <v/>
      </c>
      <c r="D64" s="42"/>
      <c r="E64" s="39"/>
      <c r="F64" s="39"/>
      <c r="G64" s="39"/>
      <c r="H64" s="39"/>
    </row>
    <row r="65" customFormat="false" ht="15" hidden="false" customHeight="false" outlineLevel="0" collapsed="false">
      <c r="A65" s="40"/>
      <c r="B65" s="41"/>
      <c r="C65" s="39" t="str">
        <f aca="false">IF(B65="","",IFERROR(INDEX(Plan!$B$6:$B$60,MATCH(B65,Plan!$A$6:$A$60,0)),"ID not found"))</f>
        <v/>
      </c>
      <c r="D65" s="42"/>
      <c r="E65" s="39"/>
      <c r="F65" s="39"/>
      <c r="G65" s="39"/>
      <c r="H65" s="39"/>
    </row>
    <row r="66" customFormat="false" ht="15" hidden="false" customHeight="false" outlineLevel="0" collapsed="false">
      <c r="A66" s="40"/>
      <c r="B66" s="41"/>
      <c r="C66" s="39" t="str">
        <f aca="false">IF(B66="","",IFERROR(INDEX(Plan!$B$6:$B$60,MATCH(B66,Plan!$A$6:$A$60,0)),"ID not found"))</f>
        <v/>
      </c>
      <c r="D66" s="42"/>
      <c r="E66" s="39"/>
      <c r="F66" s="39"/>
      <c r="G66" s="39"/>
      <c r="H66" s="39"/>
    </row>
    <row r="67" customFormat="false" ht="15" hidden="false" customHeight="false" outlineLevel="0" collapsed="false">
      <c r="A67" s="40"/>
      <c r="B67" s="41"/>
      <c r="C67" s="39" t="str">
        <f aca="false">IF(B67="","",IFERROR(INDEX(Plan!$B$6:$B$60,MATCH(B67,Plan!$A$6:$A$60,0)),"ID not found"))</f>
        <v/>
      </c>
      <c r="D67" s="42"/>
      <c r="E67" s="39"/>
      <c r="F67" s="39"/>
      <c r="G67" s="39"/>
      <c r="H67" s="39"/>
    </row>
    <row r="68" customFormat="false" ht="15" hidden="false" customHeight="false" outlineLevel="0" collapsed="false">
      <c r="A68" s="40"/>
      <c r="B68" s="41"/>
      <c r="C68" s="39" t="str">
        <f aca="false">IF(B68="","",IFERROR(INDEX(Plan!$B$6:$B$60,MATCH(B68,Plan!$A$6:$A$60,0)),"ID not found"))</f>
        <v/>
      </c>
      <c r="D68" s="42"/>
      <c r="E68" s="39"/>
      <c r="F68" s="39"/>
      <c r="G68" s="39"/>
      <c r="H68" s="39"/>
    </row>
    <row r="69" customFormat="false" ht="15" hidden="false" customHeight="false" outlineLevel="0" collapsed="false">
      <c r="A69" s="40"/>
      <c r="B69" s="41"/>
      <c r="C69" s="39" t="str">
        <f aca="false">IF(B69="","",IFERROR(INDEX(Plan!$B$6:$B$60,MATCH(B69,Plan!$A$6:$A$60,0)),"ID not found"))</f>
        <v/>
      </c>
      <c r="D69" s="42"/>
      <c r="E69" s="39"/>
      <c r="F69" s="39"/>
      <c r="G69" s="39"/>
      <c r="H69" s="39"/>
    </row>
    <row r="70" customFormat="false" ht="15" hidden="false" customHeight="false" outlineLevel="0" collapsed="false">
      <c r="A70" s="40"/>
      <c r="B70" s="41"/>
      <c r="C70" s="39" t="str">
        <f aca="false">IF(B70="","",IFERROR(INDEX(Plan!$B$6:$B$60,MATCH(B70,Plan!$A$6:$A$60,0)),"ID not found"))</f>
        <v/>
      </c>
      <c r="D70" s="42"/>
      <c r="E70" s="39"/>
      <c r="F70" s="39"/>
      <c r="G70" s="39"/>
      <c r="H70" s="39"/>
    </row>
    <row r="71" customFormat="false" ht="15" hidden="false" customHeight="false" outlineLevel="0" collapsed="false">
      <c r="A71" s="40"/>
      <c r="B71" s="41"/>
      <c r="C71" s="39" t="str">
        <f aca="false">IF(B71="","",IFERROR(INDEX(Plan!$B$6:$B$60,MATCH(B71,Plan!$A$6:$A$60,0)),"ID not found"))</f>
        <v/>
      </c>
      <c r="D71" s="42"/>
      <c r="E71" s="39"/>
      <c r="F71" s="39"/>
      <c r="G71" s="39"/>
      <c r="H71" s="39"/>
    </row>
    <row r="72" customFormat="false" ht="15" hidden="false" customHeight="false" outlineLevel="0" collapsed="false">
      <c r="A72" s="40"/>
      <c r="B72" s="41"/>
      <c r="C72" s="39" t="str">
        <f aca="false">IF(B72="","",IFERROR(INDEX(Plan!$B$6:$B$60,MATCH(B72,Plan!$A$6:$A$60,0)),"ID not found"))</f>
        <v/>
      </c>
      <c r="D72" s="42"/>
      <c r="E72" s="39"/>
      <c r="F72" s="39"/>
      <c r="G72" s="39"/>
      <c r="H72" s="39"/>
    </row>
    <row r="73" customFormat="false" ht="15" hidden="false" customHeight="false" outlineLevel="0" collapsed="false">
      <c r="A73" s="40"/>
      <c r="B73" s="41"/>
      <c r="C73" s="39" t="str">
        <f aca="false">IF(B73="","",IFERROR(INDEX(Plan!$B$6:$B$60,MATCH(B73,Plan!$A$6:$A$60,0)),"ID not found"))</f>
        <v/>
      </c>
      <c r="D73" s="42"/>
      <c r="E73" s="39"/>
      <c r="F73" s="39"/>
      <c r="G73" s="39"/>
      <c r="H73" s="39"/>
    </row>
    <row r="74" customFormat="false" ht="15" hidden="false" customHeight="false" outlineLevel="0" collapsed="false">
      <c r="A74" s="40"/>
      <c r="B74" s="41"/>
      <c r="C74" s="39" t="str">
        <f aca="false">IF(B74="","",IFERROR(INDEX(Plan!$B$6:$B$60,MATCH(B74,Plan!$A$6:$A$60,0)),"ID not found"))</f>
        <v/>
      </c>
      <c r="D74" s="42"/>
      <c r="E74" s="39"/>
      <c r="F74" s="39"/>
      <c r="G74" s="39"/>
      <c r="H74" s="39"/>
    </row>
    <row r="75" customFormat="false" ht="15" hidden="false" customHeight="false" outlineLevel="0" collapsed="false">
      <c r="A75" s="40"/>
      <c r="B75" s="41"/>
      <c r="C75" s="39" t="str">
        <f aca="false">IF(B75="","",IFERROR(INDEX(Plan!$B$6:$B$60,MATCH(B75,Plan!$A$6:$A$60,0)),"ID not found"))</f>
        <v/>
      </c>
      <c r="D75" s="42"/>
      <c r="E75" s="39"/>
      <c r="F75" s="39"/>
      <c r="G75" s="39"/>
      <c r="H75" s="39"/>
    </row>
    <row r="76" customFormat="false" ht="15" hidden="false" customHeight="false" outlineLevel="0" collapsed="false">
      <c r="A76" s="40"/>
      <c r="B76" s="41"/>
      <c r="C76" s="39" t="str">
        <f aca="false">IF(B76="","",IFERROR(INDEX(Plan!$B$6:$B$60,MATCH(B76,Plan!$A$6:$A$60,0)),"ID not found"))</f>
        <v/>
      </c>
      <c r="D76" s="42"/>
      <c r="E76" s="39"/>
      <c r="F76" s="39"/>
      <c r="G76" s="39"/>
      <c r="H76" s="39"/>
    </row>
    <row r="77" customFormat="false" ht="15" hidden="false" customHeight="false" outlineLevel="0" collapsed="false">
      <c r="A77" s="40"/>
      <c r="B77" s="41"/>
      <c r="C77" s="39" t="str">
        <f aca="false">IF(B77="","",IFERROR(INDEX(Plan!$B$6:$B$60,MATCH(B77,Plan!$A$6:$A$60,0)),"ID not found"))</f>
        <v/>
      </c>
      <c r="D77" s="42"/>
      <c r="E77" s="39"/>
      <c r="F77" s="39"/>
      <c r="G77" s="39"/>
      <c r="H77" s="39"/>
    </row>
    <row r="78" customFormat="false" ht="15" hidden="false" customHeight="false" outlineLevel="0" collapsed="false">
      <c r="A78" s="40"/>
      <c r="B78" s="41"/>
      <c r="C78" s="39" t="str">
        <f aca="false">IF(B78="","",IFERROR(INDEX(Plan!$B$6:$B$60,MATCH(B78,Plan!$A$6:$A$60,0)),"ID not found"))</f>
        <v/>
      </c>
      <c r="D78" s="42"/>
      <c r="E78" s="39"/>
      <c r="F78" s="39"/>
      <c r="G78" s="39"/>
      <c r="H78" s="39"/>
    </row>
    <row r="79" customFormat="false" ht="15" hidden="false" customHeight="false" outlineLevel="0" collapsed="false">
      <c r="A79" s="40"/>
      <c r="B79" s="41"/>
      <c r="C79" s="39" t="str">
        <f aca="false">IF(B79="","",IFERROR(INDEX(Plan!$B$6:$B$60,MATCH(B79,Plan!$A$6:$A$60,0)),"ID not found"))</f>
        <v/>
      </c>
      <c r="D79" s="42"/>
      <c r="E79" s="39"/>
      <c r="F79" s="39"/>
      <c r="G79" s="39"/>
      <c r="H79" s="39"/>
    </row>
    <row r="80" customFormat="false" ht="15" hidden="false" customHeight="false" outlineLevel="0" collapsed="false">
      <c r="A80" s="40"/>
      <c r="B80" s="41"/>
      <c r="C80" s="39" t="str">
        <f aca="false">IF(B80="","",IFERROR(INDEX(Plan!$B$6:$B$60,MATCH(B80,Plan!$A$6:$A$60,0)),"ID not found"))</f>
        <v/>
      </c>
      <c r="D80" s="42"/>
      <c r="E80" s="39"/>
      <c r="F80" s="39"/>
      <c r="G80" s="39"/>
      <c r="H80" s="39"/>
    </row>
    <row r="81" customFormat="false" ht="15" hidden="false" customHeight="false" outlineLevel="0" collapsed="false">
      <c r="A81" s="40"/>
      <c r="B81" s="41"/>
      <c r="C81" s="39" t="str">
        <f aca="false">IF(B81="","",IFERROR(INDEX(Plan!$B$6:$B$60,MATCH(B81,Plan!$A$6:$A$60,0)),"ID not found"))</f>
        <v/>
      </c>
      <c r="D81" s="42"/>
      <c r="E81" s="39"/>
      <c r="F81" s="39"/>
      <c r="G81" s="39"/>
      <c r="H81" s="39"/>
    </row>
    <row r="82" customFormat="false" ht="15" hidden="false" customHeight="false" outlineLevel="0" collapsed="false">
      <c r="A82" s="40"/>
      <c r="B82" s="41"/>
      <c r="C82" s="39" t="str">
        <f aca="false">IF(B82="","",IFERROR(INDEX(Plan!$B$6:$B$60,MATCH(B82,Plan!$A$6:$A$60,0)),"ID not found"))</f>
        <v/>
      </c>
      <c r="D82" s="42"/>
      <c r="E82" s="39"/>
      <c r="F82" s="39"/>
      <c r="G82" s="39"/>
      <c r="H82" s="39"/>
    </row>
    <row r="83" customFormat="false" ht="15" hidden="false" customHeight="false" outlineLevel="0" collapsed="false">
      <c r="A83" s="40"/>
      <c r="B83" s="41"/>
      <c r="C83" s="39" t="str">
        <f aca="false">IF(B83="","",IFERROR(INDEX(Plan!$B$6:$B$60,MATCH(B83,Plan!$A$6:$A$60,0)),"ID not found"))</f>
        <v/>
      </c>
      <c r="D83" s="42"/>
      <c r="E83" s="39"/>
      <c r="F83" s="39"/>
      <c r="G83" s="39"/>
      <c r="H83" s="39"/>
    </row>
    <row r="84" customFormat="false" ht="15" hidden="false" customHeight="false" outlineLevel="0" collapsed="false">
      <c r="A84" s="40"/>
      <c r="B84" s="41"/>
      <c r="C84" s="39" t="str">
        <f aca="false">IF(B84="","",IFERROR(INDEX(Plan!$B$6:$B$60,MATCH(B84,Plan!$A$6:$A$60,0)),"ID not found"))</f>
        <v/>
      </c>
      <c r="D84" s="42"/>
      <c r="E84" s="39"/>
      <c r="F84" s="39"/>
      <c r="G84" s="39"/>
      <c r="H84" s="39"/>
    </row>
    <row r="85" customFormat="false" ht="15" hidden="false" customHeight="false" outlineLevel="0" collapsed="false">
      <c r="A85" s="40"/>
      <c r="B85" s="41"/>
      <c r="C85" s="39" t="str">
        <f aca="false">IF(B85="","",IFERROR(INDEX(Plan!$B$6:$B$60,MATCH(B85,Plan!$A$6:$A$60,0)),"ID not found"))</f>
        <v/>
      </c>
      <c r="D85" s="42"/>
      <c r="E85" s="39"/>
      <c r="F85" s="39"/>
      <c r="G85" s="39"/>
      <c r="H85" s="39"/>
    </row>
    <row r="86" customFormat="false" ht="15" hidden="false" customHeight="false" outlineLevel="0" collapsed="false">
      <c r="A86" s="40"/>
      <c r="B86" s="41"/>
      <c r="C86" s="39" t="str">
        <f aca="false">IF(B86="","",IFERROR(INDEX(Plan!$B$6:$B$60,MATCH(B86,Plan!$A$6:$A$60,0)),"ID not found"))</f>
        <v/>
      </c>
      <c r="D86" s="42"/>
      <c r="E86" s="39"/>
      <c r="F86" s="39"/>
      <c r="G86" s="39"/>
      <c r="H86" s="39"/>
    </row>
    <row r="87" customFormat="false" ht="15" hidden="false" customHeight="false" outlineLevel="0" collapsed="false">
      <c r="A87" s="40"/>
      <c r="B87" s="41"/>
      <c r="C87" s="39" t="str">
        <f aca="false">IF(B87="","",IFERROR(INDEX(Plan!$B$6:$B$60,MATCH(B87,Plan!$A$6:$A$60,0)),"ID not found"))</f>
        <v/>
      </c>
      <c r="D87" s="42"/>
      <c r="E87" s="39"/>
      <c r="F87" s="39"/>
      <c r="G87" s="39"/>
      <c r="H87" s="39"/>
    </row>
    <row r="88" customFormat="false" ht="15" hidden="false" customHeight="false" outlineLevel="0" collapsed="false">
      <c r="A88" s="40"/>
      <c r="B88" s="41"/>
      <c r="C88" s="39" t="str">
        <f aca="false">IF(B88="","",IFERROR(INDEX(Plan!$B$6:$B$60,MATCH(B88,Plan!$A$6:$A$60,0)),"ID not found"))</f>
        <v/>
      </c>
      <c r="D88" s="42"/>
      <c r="E88" s="39"/>
      <c r="F88" s="39"/>
      <c r="G88" s="39"/>
      <c r="H88" s="39"/>
    </row>
    <row r="89" customFormat="false" ht="15" hidden="false" customHeight="false" outlineLevel="0" collapsed="false">
      <c r="A89" s="40"/>
      <c r="B89" s="41"/>
      <c r="C89" s="39" t="str">
        <f aca="false">IF(B89="","",IFERROR(INDEX(Plan!$B$6:$B$60,MATCH(B89,Plan!$A$6:$A$60,0)),"ID not found"))</f>
        <v/>
      </c>
      <c r="D89" s="42"/>
      <c r="E89" s="39"/>
      <c r="F89" s="39"/>
      <c r="G89" s="39"/>
      <c r="H89" s="39"/>
    </row>
    <row r="90" customFormat="false" ht="15" hidden="false" customHeight="false" outlineLevel="0" collapsed="false">
      <c r="A90" s="40"/>
      <c r="B90" s="41"/>
      <c r="C90" s="39" t="str">
        <f aca="false">IF(B90="","",IFERROR(INDEX(Plan!$B$6:$B$60,MATCH(B90,Plan!$A$6:$A$60,0)),"ID not found"))</f>
        <v/>
      </c>
      <c r="D90" s="42"/>
      <c r="E90" s="39"/>
      <c r="F90" s="39"/>
      <c r="G90" s="39"/>
      <c r="H90" s="39"/>
    </row>
    <row r="91" customFormat="false" ht="15" hidden="false" customHeight="false" outlineLevel="0" collapsed="false">
      <c r="A91" s="40"/>
      <c r="B91" s="41"/>
      <c r="C91" s="39" t="str">
        <f aca="false">IF(B91="","",IFERROR(INDEX(Plan!$B$6:$B$60,MATCH(B91,Plan!$A$6:$A$60,0)),"ID not found"))</f>
        <v/>
      </c>
      <c r="D91" s="42"/>
      <c r="E91" s="39"/>
      <c r="F91" s="39"/>
      <c r="G91" s="39"/>
      <c r="H91" s="39"/>
    </row>
    <row r="92" customFormat="false" ht="15" hidden="false" customHeight="false" outlineLevel="0" collapsed="false">
      <c r="A92" s="40"/>
      <c r="B92" s="41"/>
      <c r="C92" s="39" t="str">
        <f aca="false">IF(B92="","",IFERROR(INDEX(Plan!$B$6:$B$60,MATCH(B92,Plan!$A$6:$A$60,0)),"ID not found"))</f>
        <v/>
      </c>
      <c r="D92" s="42"/>
      <c r="E92" s="39"/>
      <c r="F92" s="39"/>
      <c r="G92" s="39"/>
      <c r="H92" s="39"/>
    </row>
    <row r="93" customFormat="false" ht="15" hidden="false" customHeight="false" outlineLevel="0" collapsed="false">
      <c r="A93" s="40"/>
      <c r="B93" s="41"/>
      <c r="C93" s="39" t="str">
        <f aca="false">IF(B93="","",IFERROR(INDEX(Plan!$B$6:$B$60,MATCH(B93,Plan!$A$6:$A$60,0)),"ID not found"))</f>
        <v/>
      </c>
      <c r="D93" s="42"/>
      <c r="E93" s="39"/>
      <c r="F93" s="39"/>
      <c r="G93" s="39"/>
      <c r="H93" s="39"/>
    </row>
    <row r="94" customFormat="false" ht="15" hidden="false" customHeight="false" outlineLevel="0" collapsed="false">
      <c r="A94" s="40"/>
      <c r="B94" s="41"/>
      <c r="C94" s="39" t="str">
        <f aca="false">IF(B94="","",IFERROR(INDEX(Plan!$B$6:$B$60,MATCH(B94,Plan!$A$6:$A$60,0)),"ID not found"))</f>
        <v/>
      </c>
      <c r="D94" s="42"/>
      <c r="E94" s="39"/>
      <c r="F94" s="39"/>
      <c r="G94" s="39"/>
      <c r="H94" s="39"/>
    </row>
    <row r="95" customFormat="false" ht="15" hidden="false" customHeight="false" outlineLevel="0" collapsed="false">
      <c r="A95" s="40"/>
      <c r="B95" s="41"/>
      <c r="C95" s="39" t="str">
        <f aca="false">IF(B95="","",IFERROR(INDEX(Plan!$B$6:$B$60,MATCH(B95,Plan!$A$6:$A$60,0)),"ID not found"))</f>
        <v/>
      </c>
      <c r="D95" s="42"/>
      <c r="E95" s="39"/>
      <c r="F95" s="39"/>
      <c r="G95" s="39"/>
      <c r="H95" s="39"/>
    </row>
    <row r="96" customFormat="false" ht="15" hidden="false" customHeight="false" outlineLevel="0" collapsed="false">
      <c r="A96" s="40"/>
      <c r="B96" s="41"/>
      <c r="C96" s="39" t="str">
        <f aca="false">IF(B96="","",IFERROR(INDEX(Plan!$B$6:$B$60,MATCH(B96,Plan!$A$6:$A$60,0)),"ID not found"))</f>
        <v/>
      </c>
      <c r="D96" s="42"/>
      <c r="E96" s="39"/>
      <c r="F96" s="39"/>
      <c r="G96" s="39"/>
      <c r="H96" s="39"/>
    </row>
    <row r="97" customFormat="false" ht="15" hidden="false" customHeight="false" outlineLevel="0" collapsed="false">
      <c r="A97" s="40"/>
      <c r="B97" s="41"/>
      <c r="C97" s="39" t="str">
        <f aca="false">IF(B97="","",IFERROR(INDEX(Plan!$B$6:$B$60,MATCH(B97,Plan!$A$6:$A$60,0)),"ID not found"))</f>
        <v/>
      </c>
      <c r="D97" s="42"/>
      <c r="E97" s="39"/>
      <c r="F97" s="39"/>
      <c r="G97" s="39"/>
      <c r="H97" s="39"/>
    </row>
    <row r="98" customFormat="false" ht="15" hidden="false" customHeight="false" outlineLevel="0" collapsed="false">
      <c r="A98" s="40"/>
      <c r="B98" s="41"/>
      <c r="C98" s="39" t="str">
        <f aca="false">IF(B98="","",IFERROR(INDEX(Plan!$B$6:$B$60,MATCH(B98,Plan!$A$6:$A$60,0)),"ID not found"))</f>
        <v/>
      </c>
      <c r="D98" s="42"/>
      <c r="E98" s="39"/>
      <c r="F98" s="39"/>
      <c r="G98" s="39"/>
      <c r="H98" s="39"/>
    </row>
    <row r="99" customFormat="false" ht="15" hidden="false" customHeight="false" outlineLevel="0" collapsed="false">
      <c r="A99" s="40"/>
      <c r="B99" s="41"/>
      <c r="C99" s="39" t="str">
        <f aca="false">IF(B99="","",IFERROR(INDEX(Plan!$B$6:$B$60,MATCH(B99,Plan!$A$6:$A$60,0)),"ID not found"))</f>
        <v/>
      </c>
      <c r="D99" s="42"/>
      <c r="E99" s="39"/>
      <c r="F99" s="39"/>
      <c r="G99" s="39"/>
      <c r="H99" s="39"/>
    </row>
    <row r="100" customFormat="false" ht="15" hidden="false" customHeight="false" outlineLevel="0" collapsed="false">
      <c r="A100" s="40"/>
      <c r="B100" s="41"/>
      <c r="C100" s="39" t="str">
        <f aca="false">IF(B100="","",IFERROR(INDEX(Plan!$B$6:$B$60,MATCH(B100,Plan!$A$6:$A$60,0)),"ID not found"))</f>
        <v/>
      </c>
      <c r="D100" s="42"/>
      <c r="E100" s="39"/>
      <c r="F100" s="39"/>
      <c r="G100" s="39"/>
      <c r="H100" s="39"/>
    </row>
    <row r="101" customFormat="false" ht="15" hidden="false" customHeight="false" outlineLevel="0" collapsed="false">
      <c r="A101" s="40"/>
      <c r="B101" s="41"/>
      <c r="C101" s="39" t="str">
        <f aca="false">IF(B101="","",IFERROR(INDEX(Plan!$B$6:$B$60,MATCH(B101,Plan!$A$6:$A$60,0)),"ID not found"))</f>
        <v/>
      </c>
      <c r="D101" s="42"/>
      <c r="E101" s="39"/>
      <c r="F101" s="39"/>
      <c r="G101" s="39"/>
      <c r="H101" s="39"/>
    </row>
    <row r="102" customFormat="false" ht="15" hidden="false" customHeight="false" outlineLevel="0" collapsed="false">
      <c r="A102" s="40"/>
      <c r="B102" s="41"/>
      <c r="C102" s="39" t="str">
        <f aca="false">IF(B102="","",IFERROR(INDEX(Plan!$B$6:$B$60,MATCH(B102,Plan!$A$6:$A$60,0)),"ID not found"))</f>
        <v/>
      </c>
      <c r="D102" s="42"/>
      <c r="E102" s="39"/>
      <c r="F102" s="39"/>
      <c r="G102" s="39"/>
      <c r="H102" s="39"/>
    </row>
    <row r="103" customFormat="false" ht="15" hidden="false" customHeight="false" outlineLevel="0" collapsed="false">
      <c r="A103" s="40"/>
      <c r="B103" s="41"/>
      <c r="C103" s="39" t="str">
        <f aca="false">IF(B103="","",IFERROR(INDEX(Plan!$B$6:$B$60,MATCH(B103,Plan!$A$6:$A$60,0)),"ID not found"))</f>
        <v/>
      </c>
      <c r="D103" s="42"/>
      <c r="E103" s="39"/>
      <c r="F103" s="39"/>
      <c r="G103" s="39"/>
      <c r="H103" s="39"/>
    </row>
    <row r="104" customFormat="false" ht="15" hidden="false" customHeight="false" outlineLevel="0" collapsed="false">
      <c r="A104" s="40"/>
      <c r="B104" s="41"/>
      <c r="C104" s="39" t="str">
        <f aca="false">IF(B104="","",IFERROR(INDEX(Plan!$B$6:$B$60,MATCH(B104,Plan!$A$6:$A$60,0)),"ID not found"))</f>
        <v/>
      </c>
      <c r="D104" s="42"/>
      <c r="E104" s="39"/>
      <c r="F104" s="39"/>
      <c r="G104" s="39"/>
      <c r="H104" s="39"/>
    </row>
    <row r="105" customFormat="false" ht="15" hidden="false" customHeight="false" outlineLevel="0" collapsed="false">
      <c r="A105" s="40"/>
      <c r="B105" s="41"/>
      <c r="C105" s="39" t="str">
        <f aca="false">IF(B105="","",IFERROR(INDEX(Plan!$B$6:$B$60,MATCH(B105,Plan!$A$6:$A$60,0)),"ID not found"))</f>
        <v/>
      </c>
      <c r="D105" s="42"/>
      <c r="E105" s="39"/>
      <c r="F105" s="39"/>
      <c r="G105" s="39"/>
      <c r="H105" s="39"/>
    </row>
    <row r="106" customFormat="false" ht="15" hidden="false" customHeight="false" outlineLevel="0" collapsed="false">
      <c r="A106" s="40"/>
      <c r="B106" s="41"/>
      <c r="C106" s="39" t="str">
        <f aca="false">IF(B106="","",IFERROR(INDEX(Plan!$B$6:$B$60,MATCH(B106,Plan!$A$6:$A$60,0)),"ID not found"))</f>
        <v/>
      </c>
      <c r="D106" s="42"/>
      <c r="E106" s="39"/>
      <c r="F106" s="39"/>
      <c r="G106" s="39"/>
      <c r="H106" s="39"/>
    </row>
    <row r="107" customFormat="false" ht="15" hidden="false" customHeight="false" outlineLevel="0" collapsed="false">
      <c r="A107" s="40"/>
      <c r="B107" s="41"/>
      <c r="C107" s="39" t="str">
        <f aca="false">IF(B107="","",IFERROR(INDEX(Plan!$B$6:$B$60,MATCH(B107,Plan!$A$6:$A$60,0)),"ID not found"))</f>
        <v/>
      </c>
      <c r="D107" s="42"/>
      <c r="E107" s="39"/>
      <c r="F107" s="39"/>
      <c r="G107" s="39"/>
      <c r="H107" s="39"/>
    </row>
    <row r="108" customFormat="false" ht="15" hidden="false" customHeight="false" outlineLevel="0" collapsed="false">
      <c r="A108" s="40"/>
      <c r="B108" s="41"/>
      <c r="C108" s="39" t="str">
        <f aca="false">IF(B108="","",IFERROR(INDEX(Plan!$B$6:$B$60,MATCH(B108,Plan!$A$6:$A$60,0)),"ID not found"))</f>
        <v/>
      </c>
      <c r="D108" s="42"/>
      <c r="E108" s="39"/>
      <c r="F108" s="39"/>
      <c r="G108" s="39"/>
      <c r="H108" s="39"/>
    </row>
    <row r="109" customFormat="false" ht="15" hidden="false" customHeight="false" outlineLevel="0" collapsed="false">
      <c r="A109" s="40"/>
      <c r="B109" s="41"/>
      <c r="C109" s="39" t="str">
        <f aca="false">IF(B109="","",IFERROR(INDEX(Plan!$B$6:$B$60,MATCH(B109,Plan!$A$6:$A$60,0)),"ID not found"))</f>
        <v/>
      </c>
      <c r="D109" s="42"/>
      <c r="E109" s="39"/>
      <c r="F109" s="39"/>
      <c r="G109" s="39"/>
      <c r="H109" s="39"/>
    </row>
    <row r="110" customFormat="false" ht="15" hidden="false" customHeight="false" outlineLevel="0" collapsed="false">
      <c r="A110" s="40"/>
      <c r="B110" s="41"/>
      <c r="C110" s="39" t="str">
        <f aca="false">IF(B110="","",IFERROR(INDEX(Plan!$B$6:$B$60,MATCH(B110,Plan!$A$6:$A$60,0)),"ID not found"))</f>
        <v/>
      </c>
      <c r="D110" s="42"/>
      <c r="E110" s="39"/>
      <c r="F110" s="39"/>
      <c r="G110" s="39"/>
      <c r="H110" s="39"/>
    </row>
    <row r="111" customFormat="false" ht="15" hidden="false" customHeight="false" outlineLevel="0" collapsed="false">
      <c r="A111" s="40"/>
      <c r="B111" s="41"/>
      <c r="C111" s="39" t="str">
        <f aca="false">IF(B111="","",IFERROR(INDEX(Plan!$B$6:$B$60,MATCH(B111,Plan!$A$6:$A$60,0)),"ID not found"))</f>
        <v/>
      </c>
      <c r="D111" s="42"/>
      <c r="E111" s="39"/>
      <c r="F111" s="39"/>
      <c r="G111" s="39"/>
      <c r="H111" s="39"/>
    </row>
    <row r="112" customFormat="false" ht="15" hidden="false" customHeight="false" outlineLevel="0" collapsed="false">
      <c r="A112" s="40"/>
      <c r="B112" s="41"/>
      <c r="C112" s="39" t="str">
        <f aca="false">IF(B112="","",IFERROR(INDEX(Plan!$B$6:$B$60,MATCH(B112,Plan!$A$6:$A$60,0)),"ID not found"))</f>
        <v/>
      </c>
      <c r="D112" s="42"/>
      <c r="E112" s="39"/>
      <c r="F112" s="39"/>
      <c r="G112" s="39"/>
      <c r="H112" s="39"/>
    </row>
    <row r="113" customFormat="false" ht="15" hidden="false" customHeight="false" outlineLevel="0" collapsed="false">
      <c r="A113" s="40"/>
      <c r="B113" s="41"/>
      <c r="C113" s="39" t="str">
        <f aca="false">IF(B113="","",IFERROR(INDEX(Plan!$B$6:$B$60,MATCH(B113,Plan!$A$6:$A$60,0)),"ID not found"))</f>
        <v/>
      </c>
      <c r="D113" s="42"/>
      <c r="E113" s="39"/>
      <c r="F113" s="39"/>
      <c r="G113" s="39"/>
      <c r="H113" s="39"/>
    </row>
    <row r="114" customFormat="false" ht="15" hidden="false" customHeight="false" outlineLevel="0" collapsed="false">
      <c r="A114" s="40"/>
      <c r="B114" s="41"/>
      <c r="C114" s="39" t="str">
        <f aca="false">IF(B114="","",IFERROR(INDEX(Plan!$B$6:$B$60,MATCH(B114,Plan!$A$6:$A$60,0)),"ID not found"))</f>
        <v/>
      </c>
      <c r="D114" s="42"/>
      <c r="E114" s="39"/>
      <c r="F114" s="39"/>
      <c r="G114" s="39"/>
      <c r="H114" s="39"/>
    </row>
    <row r="115" customFormat="false" ht="15" hidden="false" customHeight="false" outlineLevel="0" collapsed="false">
      <c r="A115" s="40"/>
      <c r="B115" s="41"/>
      <c r="C115" s="39" t="str">
        <f aca="false">IF(B115="","",IFERROR(INDEX(Plan!$B$6:$B$60,MATCH(B115,Plan!$A$6:$A$60,0)),"ID not found"))</f>
        <v/>
      </c>
      <c r="D115" s="42"/>
      <c r="E115" s="39"/>
      <c r="F115" s="39"/>
      <c r="G115" s="39"/>
      <c r="H115" s="39"/>
    </row>
    <row r="116" customFormat="false" ht="15" hidden="false" customHeight="false" outlineLevel="0" collapsed="false">
      <c r="A116" s="40"/>
      <c r="B116" s="41"/>
      <c r="C116" s="39" t="str">
        <f aca="false">IF(B116="","",IFERROR(INDEX(Plan!$B$6:$B$60,MATCH(B116,Plan!$A$6:$A$60,0)),"ID not found"))</f>
        <v/>
      </c>
      <c r="D116" s="42"/>
      <c r="E116" s="39"/>
      <c r="F116" s="39"/>
      <c r="G116" s="39"/>
      <c r="H116" s="39"/>
    </row>
    <row r="117" customFormat="false" ht="15" hidden="false" customHeight="false" outlineLevel="0" collapsed="false">
      <c r="A117" s="40"/>
      <c r="B117" s="41"/>
      <c r="C117" s="39" t="str">
        <f aca="false">IF(B117="","",IFERROR(INDEX(Plan!$B$6:$B$60,MATCH(B117,Plan!$A$6:$A$60,0)),"ID not found"))</f>
        <v/>
      </c>
      <c r="D117" s="42"/>
      <c r="E117" s="39"/>
      <c r="F117" s="39"/>
      <c r="G117" s="39"/>
      <c r="H117" s="39"/>
    </row>
    <row r="118" customFormat="false" ht="15" hidden="false" customHeight="false" outlineLevel="0" collapsed="false">
      <c r="A118" s="40"/>
      <c r="B118" s="41"/>
      <c r="C118" s="39" t="str">
        <f aca="false">IF(B118="","",IFERROR(INDEX(Plan!$B$6:$B$60,MATCH(B118,Plan!$A$6:$A$60,0)),"ID not found"))</f>
        <v/>
      </c>
      <c r="D118" s="42"/>
      <c r="E118" s="39"/>
      <c r="F118" s="39"/>
      <c r="G118" s="39"/>
      <c r="H118" s="39"/>
    </row>
    <row r="119" customFormat="false" ht="15" hidden="false" customHeight="false" outlineLevel="0" collapsed="false">
      <c r="A119" s="40"/>
      <c r="B119" s="41"/>
      <c r="C119" s="39" t="str">
        <f aca="false">IF(B119="","",IFERROR(INDEX(Plan!$B$6:$B$60,MATCH(B119,Plan!$A$6:$A$60,0)),"ID not found"))</f>
        <v/>
      </c>
      <c r="D119" s="42"/>
      <c r="E119" s="39"/>
      <c r="F119" s="39"/>
      <c r="G119" s="39"/>
      <c r="H119" s="39"/>
    </row>
    <row r="120" customFormat="false" ht="15" hidden="false" customHeight="false" outlineLevel="0" collapsed="false">
      <c r="A120" s="40"/>
      <c r="B120" s="41"/>
      <c r="C120" s="39" t="str">
        <f aca="false">IF(B120="","",IFERROR(INDEX(Plan!$B$6:$B$60,MATCH(B120,Plan!$A$6:$A$60,0)),"ID not found"))</f>
        <v/>
      </c>
      <c r="D120" s="42"/>
      <c r="E120" s="39"/>
      <c r="F120" s="39"/>
      <c r="G120" s="39"/>
      <c r="H120" s="39"/>
    </row>
    <row r="121" customFormat="false" ht="15" hidden="false" customHeight="false" outlineLevel="0" collapsed="false">
      <c r="A121" s="40"/>
      <c r="B121" s="41"/>
      <c r="C121" s="39" t="str">
        <f aca="false">IF(B121="","",IFERROR(INDEX(Plan!$B$6:$B$60,MATCH(B121,Plan!$A$6:$A$60,0)),"ID not found"))</f>
        <v/>
      </c>
      <c r="D121" s="42"/>
      <c r="E121" s="39"/>
      <c r="F121" s="39"/>
      <c r="G121" s="39"/>
      <c r="H121" s="39"/>
    </row>
    <row r="122" customFormat="false" ht="15" hidden="false" customHeight="false" outlineLevel="0" collapsed="false">
      <c r="A122" s="40"/>
      <c r="B122" s="41"/>
      <c r="C122" s="39" t="str">
        <f aca="false">IF(B122="","",IFERROR(INDEX(Plan!$B$6:$B$60,MATCH(B122,Plan!$A$6:$A$60,0)),"ID not found"))</f>
        <v/>
      </c>
      <c r="D122" s="42"/>
      <c r="E122" s="39"/>
      <c r="F122" s="39"/>
      <c r="G122" s="39"/>
      <c r="H122" s="39"/>
    </row>
    <row r="123" customFormat="false" ht="15" hidden="false" customHeight="false" outlineLevel="0" collapsed="false">
      <c r="A123" s="40"/>
      <c r="B123" s="41"/>
      <c r="C123" s="39" t="str">
        <f aca="false">IF(B123="","",IFERROR(INDEX(Plan!$B$6:$B$60,MATCH(B123,Plan!$A$6:$A$60,0)),"ID not found"))</f>
        <v/>
      </c>
      <c r="D123" s="42"/>
      <c r="E123" s="39"/>
      <c r="F123" s="39"/>
      <c r="G123" s="39"/>
      <c r="H123" s="39"/>
    </row>
    <row r="124" customFormat="false" ht="15" hidden="false" customHeight="false" outlineLevel="0" collapsed="false">
      <c r="A124" s="40"/>
      <c r="B124" s="41"/>
      <c r="C124" s="39" t="str">
        <f aca="false">IF(B124="","",IFERROR(INDEX(Plan!$B$6:$B$60,MATCH(B124,Plan!$A$6:$A$60,0)),"ID not found"))</f>
        <v/>
      </c>
      <c r="D124" s="42"/>
      <c r="E124" s="39"/>
      <c r="F124" s="39"/>
      <c r="G124" s="39"/>
      <c r="H124" s="39"/>
    </row>
    <row r="125" customFormat="false" ht="15" hidden="false" customHeight="false" outlineLevel="0" collapsed="false">
      <c r="A125" s="40"/>
      <c r="B125" s="41"/>
      <c r="C125" s="39" t="str">
        <f aca="false">IF(B125="","",IFERROR(INDEX(Plan!$B$6:$B$60,MATCH(B125,Plan!$A$6:$A$60,0)),"ID not found"))</f>
        <v/>
      </c>
      <c r="D125" s="42"/>
      <c r="E125" s="39"/>
      <c r="F125" s="39"/>
      <c r="G125" s="39"/>
      <c r="H125" s="39"/>
    </row>
    <row r="126" customFormat="false" ht="15" hidden="false" customHeight="false" outlineLevel="0" collapsed="false">
      <c r="A126" s="40"/>
      <c r="B126" s="41"/>
      <c r="C126" s="39" t="str">
        <f aca="false">IF(B126="","",IFERROR(INDEX(Plan!$B$6:$B$60,MATCH(B126,Plan!$A$6:$A$60,0)),"ID not found"))</f>
        <v/>
      </c>
      <c r="D126" s="42"/>
      <c r="E126" s="39"/>
      <c r="F126" s="39"/>
      <c r="G126" s="39"/>
      <c r="H126" s="39"/>
    </row>
    <row r="127" customFormat="false" ht="15" hidden="false" customHeight="false" outlineLevel="0" collapsed="false">
      <c r="A127" s="40"/>
      <c r="B127" s="41"/>
      <c r="C127" s="39" t="str">
        <f aca="false">IF(B127="","",IFERROR(INDEX(Plan!$B$6:$B$60,MATCH(B127,Plan!$A$6:$A$60,0)),"ID not found"))</f>
        <v/>
      </c>
      <c r="D127" s="42"/>
      <c r="E127" s="39"/>
      <c r="F127" s="39"/>
      <c r="G127" s="39"/>
      <c r="H127" s="39"/>
    </row>
    <row r="128" customFormat="false" ht="15" hidden="false" customHeight="false" outlineLevel="0" collapsed="false">
      <c r="A128" s="40"/>
      <c r="B128" s="41"/>
      <c r="C128" s="39" t="str">
        <f aca="false">IF(B128="","",IFERROR(INDEX(Plan!$B$6:$B$60,MATCH(B128,Plan!$A$6:$A$60,0)),"ID not found"))</f>
        <v/>
      </c>
      <c r="D128" s="42"/>
      <c r="E128" s="39"/>
      <c r="F128" s="39"/>
      <c r="G128" s="39"/>
      <c r="H128" s="39"/>
    </row>
    <row r="129" customFormat="false" ht="15" hidden="false" customHeight="false" outlineLevel="0" collapsed="false">
      <c r="A129" s="40"/>
      <c r="B129" s="41"/>
      <c r="C129" s="39" t="str">
        <f aca="false">IF(B129="","",IFERROR(INDEX(Plan!$B$6:$B$60,MATCH(B129,Plan!$A$6:$A$60,0)),"ID not found"))</f>
        <v/>
      </c>
      <c r="D129" s="42"/>
      <c r="E129" s="39"/>
      <c r="F129" s="39"/>
      <c r="G129" s="39"/>
      <c r="H129" s="39"/>
    </row>
    <row r="130" customFormat="false" ht="15" hidden="false" customHeight="false" outlineLevel="0" collapsed="false">
      <c r="A130" s="40"/>
      <c r="B130" s="41"/>
      <c r="C130" s="39" t="str">
        <f aca="false">IF(B130="","",IFERROR(INDEX(Plan!$B$6:$B$60,MATCH(B130,Plan!$A$6:$A$60,0)),"ID not found"))</f>
        <v/>
      </c>
      <c r="D130" s="42"/>
      <c r="E130" s="39"/>
      <c r="F130" s="39"/>
      <c r="G130" s="39"/>
      <c r="H130" s="39"/>
    </row>
    <row r="131" customFormat="false" ht="15" hidden="false" customHeight="false" outlineLevel="0" collapsed="false">
      <c r="A131" s="40"/>
      <c r="B131" s="41"/>
      <c r="C131" s="39" t="str">
        <f aca="false">IF(B131="","",IFERROR(INDEX(Plan!$B$6:$B$60,MATCH(B131,Plan!$A$6:$A$60,0)),"ID not found"))</f>
        <v/>
      </c>
      <c r="D131" s="42"/>
      <c r="E131" s="39"/>
      <c r="F131" s="39"/>
      <c r="G131" s="39"/>
      <c r="H131" s="39"/>
    </row>
    <row r="132" customFormat="false" ht="15" hidden="false" customHeight="false" outlineLevel="0" collapsed="false">
      <c r="A132" s="40"/>
      <c r="B132" s="41"/>
      <c r="C132" s="39" t="str">
        <f aca="false">IF(B132="","",IFERROR(INDEX(Plan!$B$6:$B$60,MATCH(B132,Plan!$A$6:$A$60,0)),"ID not found"))</f>
        <v/>
      </c>
      <c r="D132" s="42"/>
      <c r="E132" s="39"/>
      <c r="F132" s="39"/>
      <c r="G132" s="39"/>
      <c r="H132" s="39"/>
    </row>
    <row r="133" customFormat="false" ht="15" hidden="false" customHeight="false" outlineLevel="0" collapsed="false">
      <c r="A133" s="40"/>
      <c r="B133" s="41"/>
      <c r="C133" s="39" t="str">
        <f aca="false">IF(B133="","",IFERROR(INDEX(Plan!$B$6:$B$60,MATCH(B133,Plan!$A$6:$A$60,0)),"ID not found"))</f>
        <v/>
      </c>
      <c r="D133" s="42"/>
      <c r="E133" s="39"/>
      <c r="F133" s="39"/>
      <c r="G133" s="39"/>
      <c r="H133" s="39"/>
    </row>
    <row r="134" customFormat="false" ht="15" hidden="false" customHeight="false" outlineLevel="0" collapsed="false">
      <c r="A134" s="40"/>
      <c r="B134" s="41"/>
      <c r="C134" s="39" t="str">
        <f aca="false">IF(B134="","",IFERROR(INDEX(Plan!$B$6:$B$60,MATCH(B134,Plan!$A$6:$A$60,0)),"ID not found"))</f>
        <v/>
      </c>
      <c r="D134" s="42"/>
      <c r="E134" s="39"/>
      <c r="F134" s="39"/>
      <c r="G134" s="39"/>
      <c r="H134" s="39"/>
    </row>
    <row r="135" customFormat="false" ht="15" hidden="false" customHeight="false" outlineLevel="0" collapsed="false">
      <c r="A135" s="40"/>
      <c r="B135" s="41"/>
      <c r="C135" s="39" t="str">
        <f aca="false">IF(B135="","",IFERROR(INDEX(Plan!$B$6:$B$60,MATCH(B135,Plan!$A$6:$A$60,0)),"ID not found"))</f>
        <v/>
      </c>
      <c r="D135" s="42"/>
      <c r="E135" s="39"/>
      <c r="F135" s="39"/>
      <c r="G135" s="39"/>
      <c r="H135" s="39"/>
    </row>
    <row r="136" customFormat="false" ht="15" hidden="false" customHeight="false" outlineLevel="0" collapsed="false">
      <c r="A136" s="40"/>
      <c r="B136" s="41"/>
      <c r="C136" s="39" t="str">
        <f aca="false">IF(B136="","",IFERROR(INDEX(Plan!$B$6:$B$60,MATCH(B136,Plan!$A$6:$A$60,0)),"ID not found"))</f>
        <v/>
      </c>
      <c r="D136" s="42"/>
      <c r="E136" s="39"/>
      <c r="F136" s="39"/>
      <c r="G136" s="39"/>
      <c r="H136" s="39"/>
    </row>
    <row r="137" customFormat="false" ht="15" hidden="false" customHeight="false" outlineLevel="0" collapsed="false">
      <c r="A137" s="40"/>
      <c r="B137" s="41"/>
      <c r="C137" s="39" t="str">
        <f aca="false">IF(B137="","",IFERROR(INDEX(Plan!$B$6:$B$60,MATCH(B137,Plan!$A$6:$A$60,0)),"ID not found"))</f>
        <v/>
      </c>
      <c r="D137" s="42"/>
      <c r="E137" s="39"/>
      <c r="F137" s="39"/>
      <c r="G137" s="39"/>
      <c r="H137" s="39"/>
    </row>
    <row r="138" customFormat="false" ht="15" hidden="false" customHeight="false" outlineLevel="0" collapsed="false">
      <c r="A138" s="40"/>
      <c r="B138" s="41"/>
      <c r="C138" s="39" t="str">
        <f aca="false">IF(B138="","",IFERROR(INDEX(Plan!$B$6:$B$60,MATCH(B138,Plan!$A$6:$A$60,0)),"ID not found"))</f>
        <v/>
      </c>
      <c r="D138" s="42"/>
      <c r="E138" s="39"/>
      <c r="F138" s="39"/>
      <c r="G138" s="39"/>
      <c r="H138" s="39"/>
    </row>
    <row r="139" customFormat="false" ht="15" hidden="false" customHeight="false" outlineLevel="0" collapsed="false">
      <c r="A139" s="40"/>
      <c r="B139" s="41"/>
      <c r="C139" s="39" t="str">
        <f aca="false">IF(B139="","",IFERROR(INDEX(Plan!$B$6:$B$60,MATCH(B139,Plan!$A$6:$A$60,0)),"ID not found"))</f>
        <v/>
      </c>
      <c r="D139" s="42"/>
      <c r="E139" s="39"/>
      <c r="F139" s="39"/>
      <c r="G139" s="39"/>
      <c r="H139" s="39"/>
    </row>
    <row r="140" customFormat="false" ht="15" hidden="false" customHeight="false" outlineLevel="0" collapsed="false">
      <c r="A140" s="40"/>
      <c r="B140" s="41"/>
      <c r="C140" s="39" t="str">
        <f aca="false">IF(B140="","",IFERROR(INDEX(Plan!$B$6:$B$60,MATCH(B140,Plan!$A$6:$A$60,0)),"ID not found"))</f>
        <v/>
      </c>
      <c r="D140" s="42"/>
      <c r="E140" s="39"/>
      <c r="F140" s="39"/>
      <c r="G140" s="39"/>
      <c r="H140" s="39"/>
    </row>
    <row r="141" customFormat="false" ht="15" hidden="false" customHeight="false" outlineLevel="0" collapsed="false">
      <c r="A141" s="40"/>
      <c r="B141" s="41"/>
      <c r="C141" s="39" t="str">
        <f aca="false">IF(B141="","",IFERROR(INDEX(Plan!$B$6:$B$60,MATCH(B141,Plan!$A$6:$A$60,0)),"ID not found"))</f>
        <v/>
      </c>
      <c r="D141" s="42"/>
      <c r="E141" s="39"/>
      <c r="F141" s="39"/>
      <c r="G141" s="39"/>
      <c r="H141" s="39"/>
    </row>
    <row r="142" customFormat="false" ht="15" hidden="false" customHeight="false" outlineLevel="0" collapsed="false">
      <c r="A142" s="40"/>
      <c r="B142" s="41"/>
      <c r="C142" s="39" t="str">
        <f aca="false">IF(B142="","",IFERROR(INDEX(Plan!$B$6:$B$60,MATCH(B142,Plan!$A$6:$A$60,0)),"ID not found"))</f>
        <v/>
      </c>
      <c r="D142" s="42"/>
      <c r="E142" s="39"/>
      <c r="F142" s="39"/>
      <c r="G142" s="39"/>
      <c r="H142" s="39"/>
    </row>
    <row r="143" customFormat="false" ht="15" hidden="false" customHeight="false" outlineLevel="0" collapsed="false">
      <c r="A143" s="40"/>
      <c r="B143" s="41"/>
      <c r="C143" s="39" t="str">
        <f aca="false">IF(B143="","",IFERROR(INDEX(Plan!$B$6:$B$60,MATCH(B143,Plan!$A$6:$A$60,0)),"ID not found"))</f>
        <v/>
      </c>
      <c r="D143" s="42"/>
      <c r="E143" s="39"/>
      <c r="F143" s="39"/>
      <c r="G143" s="39"/>
      <c r="H143" s="39"/>
    </row>
    <row r="144" customFormat="false" ht="15" hidden="false" customHeight="false" outlineLevel="0" collapsed="false">
      <c r="A144" s="40"/>
      <c r="B144" s="41"/>
      <c r="C144" s="39" t="str">
        <f aca="false">IF(B144="","",IFERROR(INDEX(Plan!$B$6:$B$60,MATCH(B144,Plan!$A$6:$A$60,0)),"ID not found"))</f>
        <v/>
      </c>
      <c r="D144" s="42"/>
      <c r="E144" s="39"/>
      <c r="F144" s="39"/>
      <c r="G144" s="39"/>
      <c r="H144" s="39"/>
    </row>
    <row r="145" customFormat="false" ht="15" hidden="false" customHeight="false" outlineLevel="0" collapsed="false">
      <c r="A145" s="40"/>
      <c r="B145" s="41"/>
      <c r="C145" s="39" t="str">
        <f aca="false">IF(B145="","",IFERROR(INDEX(Plan!$B$6:$B$60,MATCH(B145,Plan!$A$6:$A$60,0)),"ID not found"))</f>
        <v/>
      </c>
      <c r="D145" s="42"/>
      <c r="E145" s="39"/>
      <c r="F145" s="39"/>
      <c r="G145" s="39"/>
      <c r="H145" s="39"/>
    </row>
    <row r="146" customFormat="false" ht="15" hidden="false" customHeight="false" outlineLevel="0" collapsed="false">
      <c r="A146" s="40"/>
      <c r="B146" s="41"/>
      <c r="C146" s="39" t="str">
        <f aca="false">IF(B146="","",IFERROR(INDEX(Plan!$B$6:$B$60,MATCH(B146,Plan!$A$6:$A$60,0)),"ID not found"))</f>
        <v/>
      </c>
      <c r="D146" s="42"/>
      <c r="E146" s="39"/>
      <c r="F146" s="39"/>
      <c r="G146" s="39"/>
      <c r="H146" s="39"/>
    </row>
    <row r="147" customFormat="false" ht="15" hidden="false" customHeight="false" outlineLevel="0" collapsed="false">
      <c r="A147" s="40"/>
      <c r="B147" s="41"/>
      <c r="C147" s="39" t="str">
        <f aca="false">IF(B147="","",IFERROR(INDEX(Plan!$B$6:$B$60,MATCH(B147,Plan!$A$6:$A$60,0)),"ID not found"))</f>
        <v/>
      </c>
      <c r="D147" s="42"/>
      <c r="E147" s="39"/>
      <c r="F147" s="39"/>
      <c r="G147" s="39"/>
      <c r="H147" s="39"/>
    </row>
    <row r="148" customFormat="false" ht="15" hidden="false" customHeight="false" outlineLevel="0" collapsed="false">
      <c r="A148" s="40"/>
      <c r="B148" s="41"/>
      <c r="C148" s="39" t="str">
        <f aca="false">IF(B148="","",IFERROR(INDEX(Plan!$B$6:$B$60,MATCH(B148,Plan!$A$6:$A$60,0)),"ID not found"))</f>
        <v/>
      </c>
      <c r="D148" s="42"/>
      <c r="E148" s="39"/>
      <c r="F148" s="39"/>
      <c r="G148" s="39"/>
      <c r="H148" s="39"/>
    </row>
    <row r="149" customFormat="false" ht="15" hidden="false" customHeight="false" outlineLevel="0" collapsed="false">
      <c r="A149" s="40"/>
      <c r="B149" s="41"/>
      <c r="C149" s="39" t="str">
        <f aca="false">IF(B149="","",IFERROR(INDEX(Plan!$B$6:$B$60,MATCH(B149,Plan!$A$6:$A$60,0)),"ID not found"))</f>
        <v/>
      </c>
      <c r="D149" s="42"/>
      <c r="E149" s="39"/>
      <c r="F149" s="39"/>
      <c r="G149" s="39"/>
      <c r="H149" s="39"/>
    </row>
    <row r="150" customFormat="false" ht="15" hidden="false" customHeight="false" outlineLevel="0" collapsed="false">
      <c r="A150" s="40"/>
      <c r="B150" s="41"/>
      <c r="C150" s="39" t="str">
        <f aca="false">IF(B150="","",IFERROR(INDEX(Plan!$B$6:$B$60,MATCH(B150,Plan!$A$6:$A$60,0)),"ID not found"))</f>
        <v/>
      </c>
      <c r="D150" s="42"/>
      <c r="E150" s="39"/>
      <c r="F150" s="39"/>
      <c r="G150" s="39"/>
      <c r="H150" s="39"/>
    </row>
    <row r="151" customFormat="false" ht="15" hidden="false" customHeight="false" outlineLevel="0" collapsed="false">
      <c r="A151" s="40"/>
      <c r="B151" s="41"/>
      <c r="C151" s="39" t="str">
        <f aca="false">IF(B151="","",IFERROR(INDEX(Plan!$B$6:$B$60,MATCH(B151,Plan!$A$6:$A$60,0)),"ID not found"))</f>
        <v/>
      </c>
      <c r="D151" s="42"/>
      <c r="E151" s="39"/>
      <c r="F151" s="39"/>
      <c r="G151" s="39"/>
      <c r="H151" s="39"/>
    </row>
    <row r="152" customFormat="false" ht="15" hidden="false" customHeight="false" outlineLevel="0" collapsed="false">
      <c r="A152" s="40"/>
      <c r="B152" s="41"/>
      <c r="C152" s="39" t="str">
        <f aca="false">IF(B152="","",IFERROR(INDEX(Plan!$B$6:$B$60,MATCH(B152,Plan!$A$6:$A$60,0)),"ID not found"))</f>
        <v/>
      </c>
      <c r="D152" s="42"/>
      <c r="E152" s="39"/>
      <c r="F152" s="39"/>
      <c r="G152" s="39"/>
      <c r="H152" s="39"/>
    </row>
    <row r="153" customFormat="false" ht="15" hidden="false" customHeight="false" outlineLevel="0" collapsed="false">
      <c r="A153" s="40"/>
      <c r="B153" s="41"/>
      <c r="C153" s="39" t="str">
        <f aca="false">IF(B153="","",IFERROR(INDEX(Plan!$B$6:$B$60,MATCH(B153,Plan!$A$6:$A$60,0)),"ID not found"))</f>
        <v/>
      </c>
      <c r="D153" s="42"/>
      <c r="E153" s="39"/>
      <c r="F153" s="39"/>
      <c r="G153" s="39"/>
      <c r="H153" s="39"/>
    </row>
    <row r="154" customFormat="false" ht="15" hidden="false" customHeight="false" outlineLevel="0" collapsed="false">
      <c r="A154" s="40"/>
      <c r="B154" s="41"/>
      <c r="C154" s="39" t="str">
        <f aca="false">IF(B154="","",IFERROR(INDEX(Plan!$B$6:$B$60,MATCH(B154,Plan!$A$6:$A$60,0)),"ID not found"))</f>
        <v/>
      </c>
      <c r="D154" s="42"/>
      <c r="E154" s="39"/>
      <c r="F154" s="39"/>
      <c r="G154" s="39"/>
      <c r="H154" s="39"/>
    </row>
    <row r="155" customFormat="false" ht="15" hidden="false" customHeight="false" outlineLevel="0" collapsed="false">
      <c r="A155" s="40"/>
      <c r="B155" s="41"/>
      <c r="C155" s="39" t="str">
        <f aca="false">IF(B155="","",IFERROR(INDEX(Plan!$B$6:$B$60,MATCH(B155,Plan!$A$6:$A$60,0)),"ID not found"))</f>
        <v/>
      </c>
      <c r="D155" s="42"/>
      <c r="E155" s="39"/>
      <c r="F155" s="39"/>
      <c r="G155" s="39"/>
      <c r="H155" s="39"/>
    </row>
    <row r="156" customFormat="false" ht="15" hidden="false" customHeight="false" outlineLevel="0" collapsed="false">
      <c r="A156" s="40"/>
      <c r="B156" s="41"/>
      <c r="C156" s="39" t="str">
        <f aca="false">IF(B156="","",IFERROR(INDEX(Plan!$B$6:$B$60,MATCH(B156,Plan!$A$6:$A$60,0)),"ID not found"))</f>
        <v/>
      </c>
      <c r="D156" s="42"/>
      <c r="E156" s="39"/>
      <c r="F156" s="39"/>
      <c r="G156" s="39"/>
      <c r="H156" s="39"/>
    </row>
    <row r="157" customFormat="false" ht="15" hidden="false" customHeight="false" outlineLevel="0" collapsed="false">
      <c r="A157" s="40"/>
      <c r="B157" s="41"/>
      <c r="C157" s="39" t="str">
        <f aca="false">IF(B157="","",IFERROR(INDEX(Plan!$B$6:$B$60,MATCH(B157,Plan!$A$6:$A$60,0)),"ID not found"))</f>
        <v/>
      </c>
      <c r="D157" s="42"/>
      <c r="E157" s="39"/>
      <c r="F157" s="39"/>
      <c r="G157" s="39"/>
      <c r="H157" s="39"/>
    </row>
    <row r="158" customFormat="false" ht="15" hidden="false" customHeight="false" outlineLevel="0" collapsed="false">
      <c r="A158" s="40"/>
      <c r="B158" s="41"/>
      <c r="C158" s="39" t="str">
        <f aca="false">IF(B158="","",IFERROR(INDEX(Plan!$B$6:$B$60,MATCH(B158,Plan!$A$6:$A$60,0)),"ID not found"))</f>
        <v/>
      </c>
      <c r="D158" s="42"/>
      <c r="E158" s="39"/>
      <c r="F158" s="39"/>
      <c r="G158" s="39"/>
      <c r="H158" s="39"/>
    </row>
    <row r="159" customFormat="false" ht="15" hidden="false" customHeight="false" outlineLevel="0" collapsed="false">
      <c r="A159" s="40"/>
      <c r="B159" s="41"/>
      <c r="C159" s="39" t="str">
        <f aca="false">IF(B159="","",IFERROR(INDEX(Plan!$B$6:$B$60,MATCH(B159,Plan!$A$6:$A$60,0)),"ID not found"))</f>
        <v/>
      </c>
      <c r="D159" s="42"/>
      <c r="E159" s="39"/>
      <c r="F159" s="39"/>
      <c r="G159" s="39"/>
      <c r="H159" s="39"/>
    </row>
    <row r="160" customFormat="false" ht="15" hidden="false" customHeight="false" outlineLevel="0" collapsed="false">
      <c r="A160" s="40"/>
      <c r="B160" s="41"/>
      <c r="C160" s="39" t="str">
        <f aca="false">IF(B160="","",IFERROR(INDEX(Plan!$B$6:$B$60,MATCH(B160,Plan!$A$6:$A$60,0)),"ID not found"))</f>
        <v/>
      </c>
      <c r="D160" s="42"/>
      <c r="E160" s="39"/>
      <c r="F160" s="39"/>
      <c r="G160" s="39"/>
      <c r="H160" s="39"/>
    </row>
    <row r="161" customFormat="false" ht="15" hidden="false" customHeight="false" outlineLevel="0" collapsed="false">
      <c r="A161" s="40"/>
      <c r="B161" s="41"/>
      <c r="C161" s="39" t="str">
        <f aca="false">IF(B161="","",IFERROR(INDEX(Plan!$B$6:$B$60,MATCH(B161,Plan!$A$6:$A$60,0)),"ID not found"))</f>
        <v/>
      </c>
      <c r="D161" s="42"/>
      <c r="E161" s="39"/>
      <c r="F161" s="39"/>
      <c r="G161" s="39"/>
      <c r="H161" s="39"/>
    </row>
    <row r="162" customFormat="false" ht="15" hidden="false" customHeight="false" outlineLevel="0" collapsed="false">
      <c r="A162" s="40"/>
      <c r="B162" s="41"/>
      <c r="C162" s="39" t="str">
        <f aca="false">IF(B162="","",IFERROR(INDEX(Plan!$B$6:$B$60,MATCH(B162,Plan!$A$6:$A$60,0)),"ID not found"))</f>
        <v/>
      </c>
      <c r="D162" s="42"/>
      <c r="E162" s="39"/>
      <c r="F162" s="39"/>
      <c r="G162" s="39"/>
      <c r="H162" s="39"/>
    </row>
    <row r="163" customFormat="false" ht="15" hidden="false" customHeight="false" outlineLevel="0" collapsed="false">
      <c r="A163" s="40"/>
      <c r="B163" s="41"/>
      <c r="C163" s="39" t="str">
        <f aca="false">IF(B163="","",IFERROR(INDEX(Plan!$B$6:$B$60,MATCH(B163,Plan!$A$6:$A$60,0)),"ID not found"))</f>
        <v/>
      </c>
      <c r="D163" s="42"/>
      <c r="E163" s="39"/>
      <c r="F163" s="39"/>
      <c r="G163" s="39"/>
      <c r="H163" s="39"/>
    </row>
    <row r="164" customFormat="false" ht="15" hidden="false" customHeight="false" outlineLevel="0" collapsed="false">
      <c r="A164" s="40"/>
      <c r="B164" s="41"/>
      <c r="C164" s="39" t="str">
        <f aca="false">IF(B164="","",IFERROR(INDEX(Plan!$B$6:$B$60,MATCH(B164,Plan!$A$6:$A$60,0)),"ID not found"))</f>
        <v/>
      </c>
      <c r="D164" s="42"/>
      <c r="E164" s="39"/>
      <c r="F164" s="39"/>
      <c r="G164" s="39"/>
      <c r="H164" s="39"/>
    </row>
    <row r="165" customFormat="false" ht="15" hidden="false" customHeight="false" outlineLevel="0" collapsed="false">
      <c r="A165" s="40"/>
      <c r="B165" s="41"/>
      <c r="C165" s="39" t="str">
        <f aca="false">IF(B165="","",IFERROR(INDEX(Plan!$B$6:$B$60,MATCH(B165,Plan!$A$6:$A$60,0)),"ID not found"))</f>
        <v/>
      </c>
      <c r="D165" s="42"/>
      <c r="E165" s="39"/>
      <c r="F165" s="39"/>
      <c r="G165" s="39"/>
      <c r="H165" s="39"/>
    </row>
    <row r="166" customFormat="false" ht="15" hidden="false" customHeight="false" outlineLevel="0" collapsed="false">
      <c r="A166" s="40"/>
      <c r="B166" s="41"/>
      <c r="C166" s="39" t="str">
        <f aca="false">IF(B166="","",IFERROR(INDEX(Plan!$B$6:$B$60,MATCH(B166,Plan!$A$6:$A$60,0)),"ID not found"))</f>
        <v/>
      </c>
      <c r="D166" s="42"/>
      <c r="E166" s="39"/>
      <c r="F166" s="39"/>
      <c r="G166" s="39"/>
      <c r="H166" s="39"/>
    </row>
    <row r="167" customFormat="false" ht="15" hidden="false" customHeight="false" outlineLevel="0" collapsed="false">
      <c r="A167" s="40"/>
      <c r="B167" s="41"/>
      <c r="C167" s="39" t="str">
        <f aca="false">IF(B167="","",IFERROR(INDEX(Plan!$B$6:$B$60,MATCH(B167,Plan!$A$6:$A$60,0)),"ID not found"))</f>
        <v/>
      </c>
      <c r="D167" s="42"/>
      <c r="E167" s="39"/>
      <c r="F167" s="39"/>
      <c r="G167" s="39"/>
      <c r="H167" s="39"/>
    </row>
    <row r="168" customFormat="false" ht="15" hidden="false" customHeight="false" outlineLevel="0" collapsed="false">
      <c r="A168" s="40"/>
      <c r="B168" s="41"/>
      <c r="C168" s="39" t="str">
        <f aca="false">IF(B168="","",IFERROR(INDEX(Plan!$B$6:$B$60,MATCH(B168,Plan!$A$6:$A$60,0)),"ID not found"))</f>
        <v/>
      </c>
      <c r="D168" s="42"/>
      <c r="E168" s="39"/>
      <c r="F168" s="39"/>
      <c r="G168" s="39"/>
      <c r="H168" s="39"/>
    </row>
    <row r="169" customFormat="false" ht="15" hidden="false" customHeight="false" outlineLevel="0" collapsed="false">
      <c r="A169" s="40"/>
      <c r="B169" s="41"/>
      <c r="C169" s="39" t="str">
        <f aca="false">IF(B169="","",IFERROR(INDEX(Plan!$B$6:$B$60,MATCH(B169,Plan!$A$6:$A$60,0)),"ID not found"))</f>
        <v/>
      </c>
      <c r="D169" s="42"/>
      <c r="E169" s="39"/>
      <c r="F169" s="39"/>
      <c r="G169" s="39"/>
      <c r="H169" s="39"/>
    </row>
    <row r="170" customFormat="false" ht="15" hidden="false" customHeight="false" outlineLevel="0" collapsed="false">
      <c r="A170" s="40"/>
      <c r="B170" s="41"/>
      <c r="C170" s="39" t="str">
        <f aca="false">IF(B170="","",IFERROR(INDEX(Plan!$B$6:$B$60,MATCH(B170,Plan!$A$6:$A$60,0)),"ID not found"))</f>
        <v/>
      </c>
      <c r="D170" s="42"/>
      <c r="E170" s="39"/>
      <c r="F170" s="39"/>
      <c r="G170" s="39"/>
      <c r="H170" s="39"/>
    </row>
    <row r="171" customFormat="false" ht="15" hidden="false" customHeight="false" outlineLevel="0" collapsed="false">
      <c r="A171" s="40"/>
      <c r="B171" s="41"/>
      <c r="C171" s="39" t="str">
        <f aca="false">IF(B171="","",IFERROR(INDEX(Plan!$B$6:$B$60,MATCH(B171,Plan!$A$6:$A$60,0)),"ID not found"))</f>
        <v/>
      </c>
      <c r="D171" s="42"/>
      <c r="E171" s="39"/>
      <c r="F171" s="39"/>
      <c r="G171" s="39"/>
      <c r="H171" s="39"/>
    </row>
    <row r="172" customFormat="false" ht="15" hidden="false" customHeight="false" outlineLevel="0" collapsed="false">
      <c r="A172" s="40"/>
      <c r="B172" s="41"/>
      <c r="C172" s="39" t="str">
        <f aca="false">IF(B172="","",IFERROR(INDEX(Plan!$B$6:$B$60,MATCH(B172,Plan!$A$6:$A$60,0)),"ID not found"))</f>
        <v/>
      </c>
      <c r="D172" s="42"/>
      <c r="E172" s="39"/>
      <c r="F172" s="39"/>
      <c r="G172" s="39"/>
      <c r="H172" s="39"/>
    </row>
    <row r="173" customFormat="false" ht="15" hidden="false" customHeight="false" outlineLevel="0" collapsed="false">
      <c r="A173" s="40"/>
      <c r="B173" s="41"/>
      <c r="C173" s="39" t="str">
        <f aca="false">IF(B173="","",IFERROR(INDEX(Plan!$B$6:$B$60,MATCH(B173,Plan!$A$6:$A$60,0)),"ID not found"))</f>
        <v/>
      </c>
      <c r="D173" s="42"/>
      <c r="E173" s="39"/>
      <c r="F173" s="39"/>
      <c r="G173" s="39"/>
      <c r="H173" s="39"/>
    </row>
    <row r="174" customFormat="false" ht="15" hidden="false" customHeight="false" outlineLevel="0" collapsed="false">
      <c r="A174" s="40"/>
      <c r="B174" s="41"/>
      <c r="C174" s="39" t="str">
        <f aca="false">IF(B174="","",IFERROR(INDEX(Plan!$B$6:$B$60,MATCH(B174,Plan!$A$6:$A$60,0)),"ID not found"))</f>
        <v/>
      </c>
      <c r="D174" s="42"/>
      <c r="E174" s="39"/>
      <c r="F174" s="39"/>
      <c r="G174" s="39"/>
      <c r="H174" s="39"/>
    </row>
    <row r="175" customFormat="false" ht="15" hidden="false" customHeight="false" outlineLevel="0" collapsed="false">
      <c r="A175" s="40"/>
      <c r="B175" s="41"/>
      <c r="C175" s="39" t="str">
        <f aca="false">IF(B175="","",IFERROR(INDEX(Plan!$B$6:$B$60,MATCH(B175,Plan!$A$6:$A$60,0)),"ID not found"))</f>
        <v/>
      </c>
      <c r="D175" s="42"/>
      <c r="E175" s="39"/>
      <c r="F175" s="39"/>
      <c r="G175" s="39"/>
      <c r="H175" s="39"/>
    </row>
    <row r="176" customFormat="false" ht="15" hidden="false" customHeight="false" outlineLevel="0" collapsed="false">
      <c r="A176" s="40"/>
      <c r="B176" s="41"/>
      <c r="C176" s="39" t="str">
        <f aca="false">IF(B176="","",IFERROR(INDEX(Plan!$B$6:$B$60,MATCH(B176,Plan!$A$6:$A$60,0)),"ID not found"))</f>
        <v/>
      </c>
      <c r="D176" s="42"/>
      <c r="E176" s="39"/>
      <c r="F176" s="39"/>
      <c r="G176" s="39"/>
      <c r="H176" s="39"/>
    </row>
    <row r="177" customFormat="false" ht="15" hidden="false" customHeight="false" outlineLevel="0" collapsed="false">
      <c r="A177" s="40"/>
      <c r="B177" s="41"/>
      <c r="C177" s="39" t="str">
        <f aca="false">IF(B177="","",IFERROR(INDEX(Plan!$B$6:$B$60,MATCH(B177,Plan!$A$6:$A$60,0)),"ID not found"))</f>
        <v/>
      </c>
      <c r="D177" s="42"/>
      <c r="E177" s="39"/>
      <c r="F177" s="39"/>
      <c r="G177" s="39"/>
      <c r="H177" s="39"/>
    </row>
    <row r="178" customFormat="false" ht="15" hidden="false" customHeight="false" outlineLevel="0" collapsed="false">
      <c r="A178" s="40"/>
      <c r="B178" s="41"/>
      <c r="C178" s="39" t="str">
        <f aca="false">IF(B178="","",IFERROR(INDEX(Plan!$B$6:$B$60,MATCH(B178,Plan!$A$6:$A$60,0)),"ID not found"))</f>
        <v/>
      </c>
      <c r="D178" s="42"/>
      <c r="E178" s="39"/>
      <c r="F178" s="39"/>
      <c r="G178" s="39"/>
      <c r="H178" s="39"/>
    </row>
    <row r="179" customFormat="false" ht="15" hidden="false" customHeight="false" outlineLevel="0" collapsed="false">
      <c r="A179" s="40"/>
      <c r="B179" s="41"/>
      <c r="C179" s="39" t="str">
        <f aca="false">IF(B179="","",IFERROR(INDEX(Plan!$B$6:$B$60,MATCH(B179,Plan!$A$6:$A$60,0)),"ID not found"))</f>
        <v/>
      </c>
      <c r="D179" s="42"/>
      <c r="E179" s="39"/>
      <c r="F179" s="39"/>
      <c r="G179" s="39"/>
      <c r="H179" s="39"/>
    </row>
    <row r="180" customFormat="false" ht="15" hidden="false" customHeight="false" outlineLevel="0" collapsed="false">
      <c r="A180" s="40"/>
      <c r="B180" s="41"/>
      <c r="C180" s="39" t="str">
        <f aca="false">IF(B180="","",IFERROR(INDEX(Plan!$B$6:$B$60,MATCH(B180,Plan!$A$6:$A$60,0)),"ID not found"))</f>
        <v/>
      </c>
      <c r="D180" s="42"/>
      <c r="E180" s="39"/>
      <c r="F180" s="39"/>
      <c r="G180" s="39"/>
      <c r="H180" s="39"/>
    </row>
    <row r="181" customFormat="false" ht="15" hidden="false" customHeight="false" outlineLevel="0" collapsed="false">
      <c r="A181" s="40"/>
      <c r="B181" s="41"/>
      <c r="C181" s="39" t="str">
        <f aca="false">IF(B181="","",IFERROR(INDEX(Plan!$B$6:$B$60,MATCH(B181,Plan!$A$6:$A$60,0)),"ID not found"))</f>
        <v/>
      </c>
      <c r="D181" s="42"/>
      <c r="E181" s="39"/>
      <c r="F181" s="39"/>
      <c r="G181" s="39"/>
      <c r="H181" s="39"/>
    </row>
    <row r="182" customFormat="false" ht="15" hidden="false" customHeight="false" outlineLevel="0" collapsed="false">
      <c r="A182" s="40"/>
      <c r="B182" s="41"/>
      <c r="C182" s="39" t="str">
        <f aca="false">IF(B182="","",IFERROR(INDEX(Plan!$B$6:$B$60,MATCH(B182,Plan!$A$6:$A$60,0)),"ID not found"))</f>
        <v/>
      </c>
      <c r="D182" s="42"/>
      <c r="E182" s="39"/>
      <c r="F182" s="39"/>
      <c r="G182" s="39"/>
      <c r="H182" s="39"/>
    </row>
    <row r="183" customFormat="false" ht="15" hidden="false" customHeight="false" outlineLevel="0" collapsed="false">
      <c r="A183" s="40"/>
      <c r="B183" s="41"/>
      <c r="C183" s="39" t="str">
        <f aca="false">IF(B183="","",IFERROR(INDEX(Plan!$B$6:$B$60,MATCH(B183,Plan!$A$6:$A$60,0)),"ID not found"))</f>
        <v/>
      </c>
      <c r="D183" s="42"/>
      <c r="E183" s="39"/>
      <c r="F183" s="39"/>
      <c r="G183" s="39"/>
      <c r="H183" s="39"/>
    </row>
    <row r="184" customFormat="false" ht="15" hidden="false" customHeight="false" outlineLevel="0" collapsed="false">
      <c r="A184" s="40"/>
      <c r="B184" s="41"/>
      <c r="C184" s="39" t="str">
        <f aca="false">IF(B184="","",IFERROR(INDEX(Plan!$B$6:$B$60,MATCH(B184,Plan!$A$6:$A$60,0)),"ID not found"))</f>
        <v/>
      </c>
      <c r="D184" s="42"/>
      <c r="E184" s="39"/>
      <c r="F184" s="39"/>
      <c r="G184" s="39"/>
      <c r="H184" s="39"/>
    </row>
    <row r="185" customFormat="false" ht="15" hidden="false" customHeight="false" outlineLevel="0" collapsed="false">
      <c r="A185" s="40"/>
      <c r="B185" s="41"/>
      <c r="C185" s="39" t="str">
        <f aca="false">IF(B185="","",IFERROR(INDEX(Plan!$B$6:$B$60,MATCH(B185,Plan!$A$6:$A$60,0)),"ID not found"))</f>
        <v/>
      </c>
      <c r="D185" s="42"/>
      <c r="E185" s="39"/>
      <c r="F185" s="39"/>
      <c r="G185" s="39"/>
      <c r="H185" s="39"/>
    </row>
    <row r="186" customFormat="false" ht="15" hidden="false" customHeight="false" outlineLevel="0" collapsed="false">
      <c r="A186" s="40"/>
      <c r="B186" s="41"/>
      <c r="C186" s="39" t="str">
        <f aca="false">IF(B186="","",IFERROR(INDEX(Plan!$B$6:$B$60,MATCH(B186,Plan!$A$6:$A$60,0)),"ID not found"))</f>
        <v/>
      </c>
      <c r="D186" s="42"/>
      <c r="E186" s="39"/>
      <c r="F186" s="39"/>
      <c r="G186" s="39"/>
      <c r="H186" s="39"/>
    </row>
    <row r="187" customFormat="false" ht="15" hidden="false" customHeight="false" outlineLevel="0" collapsed="false">
      <c r="A187" s="40"/>
      <c r="B187" s="41"/>
      <c r="C187" s="39" t="str">
        <f aca="false">IF(B187="","",IFERROR(INDEX(Plan!$B$6:$B$60,MATCH(B187,Plan!$A$6:$A$60,0)),"ID not found"))</f>
        <v/>
      </c>
      <c r="D187" s="42"/>
      <c r="E187" s="39"/>
      <c r="F187" s="39"/>
      <c r="G187" s="39"/>
      <c r="H187" s="39"/>
    </row>
    <row r="188" customFormat="false" ht="15" hidden="false" customHeight="false" outlineLevel="0" collapsed="false">
      <c r="A188" s="40"/>
      <c r="B188" s="41"/>
      <c r="C188" s="39" t="str">
        <f aca="false">IF(B188="","",IFERROR(INDEX(Plan!$B$6:$B$60,MATCH(B188,Plan!$A$6:$A$60,0)),"ID not found"))</f>
        <v/>
      </c>
      <c r="D188" s="42"/>
      <c r="E188" s="39"/>
      <c r="F188" s="39"/>
      <c r="G188" s="39"/>
      <c r="H188" s="39"/>
    </row>
    <row r="189" customFormat="false" ht="15" hidden="false" customHeight="false" outlineLevel="0" collapsed="false">
      <c r="A189" s="40"/>
      <c r="B189" s="41"/>
      <c r="C189" s="39" t="str">
        <f aca="false">IF(B189="","",IFERROR(INDEX(Plan!$B$6:$B$60,MATCH(B189,Plan!$A$6:$A$60,0)),"ID not found"))</f>
        <v/>
      </c>
      <c r="D189" s="42"/>
      <c r="E189" s="39"/>
      <c r="F189" s="39"/>
      <c r="G189" s="39"/>
      <c r="H189" s="39"/>
    </row>
    <row r="190" customFormat="false" ht="15" hidden="false" customHeight="false" outlineLevel="0" collapsed="false">
      <c r="A190" s="40"/>
      <c r="B190" s="41"/>
      <c r="C190" s="39" t="str">
        <f aca="false">IF(B190="","",IFERROR(INDEX(Plan!$B$6:$B$60,MATCH(B190,Plan!$A$6:$A$60,0)),"ID not found"))</f>
        <v/>
      </c>
      <c r="D190" s="42"/>
      <c r="E190" s="39"/>
      <c r="F190" s="39"/>
      <c r="G190" s="39"/>
      <c r="H190" s="39"/>
    </row>
    <row r="191" customFormat="false" ht="15" hidden="false" customHeight="false" outlineLevel="0" collapsed="false">
      <c r="A191" s="40"/>
      <c r="B191" s="41"/>
      <c r="C191" s="39" t="str">
        <f aca="false">IF(B191="","",IFERROR(INDEX(Plan!$B$6:$B$60,MATCH(B191,Plan!$A$6:$A$60,0)),"ID not found"))</f>
        <v/>
      </c>
      <c r="D191" s="42"/>
      <c r="E191" s="39"/>
      <c r="F191" s="39"/>
      <c r="G191" s="39"/>
      <c r="H191" s="39"/>
    </row>
    <row r="192" customFormat="false" ht="15" hidden="false" customHeight="false" outlineLevel="0" collapsed="false">
      <c r="A192" s="40"/>
      <c r="B192" s="41"/>
      <c r="C192" s="39" t="str">
        <f aca="false">IF(B192="","",IFERROR(INDEX(Plan!$B$6:$B$60,MATCH(B192,Plan!$A$6:$A$60,0)),"ID not found"))</f>
        <v/>
      </c>
      <c r="D192" s="42"/>
      <c r="E192" s="39"/>
      <c r="F192" s="39"/>
      <c r="G192" s="39"/>
      <c r="H192" s="39"/>
    </row>
    <row r="193" customFormat="false" ht="15" hidden="false" customHeight="false" outlineLevel="0" collapsed="false">
      <c r="A193" s="40"/>
      <c r="B193" s="41"/>
      <c r="C193" s="39" t="str">
        <f aca="false">IF(B193="","",IFERROR(INDEX(Plan!$B$6:$B$60,MATCH(B193,Plan!$A$6:$A$60,0)),"ID not found"))</f>
        <v/>
      </c>
      <c r="D193" s="42"/>
      <c r="E193" s="39"/>
      <c r="F193" s="39"/>
      <c r="G193" s="39"/>
      <c r="H193" s="39"/>
    </row>
    <row r="194" customFormat="false" ht="15" hidden="false" customHeight="false" outlineLevel="0" collapsed="false">
      <c r="A194" s="40"/>
      <c r="B194" s="41"/>
      <c r="C194" s="39" t="str">
        <f aca="false">IF(B194="","",IFERROR(INDEX(Plan!$B$6:$B$60,MATCH(B194,Plan!$A$6:$A$60,0)),"ID not found"))</f>
        <v/>
      </c>
      <c r="D194" s="42"/>
      <c r="E194" s="39"/>
      <c r="F194" s="39"/>
      <c r="G194" s="39"/>
      <c r="H194" s="39"/>
    </row>
    <row r="195" customFormat="false" ht="15" hidden="false" customHeight="false" outlineLevel="0" collapsed="false">
      <c r="A195" s="40"/>
      <c r="B195" s="41"/>
      <c r="C195" s="39" t="str">
        <f aca="false">IF(B195="","",IFERROR(INDEX(Plan!$B$6:$B$60,MATCH(B195,Plan!$A$6:$A$60,0)),"ID not found"))</f>
        <v/>
      </c>
      <c r="D195" s="42"/>
      <c r="E195" s="39"/>
      <c r="F195" s="39"/>
      <c r="G195" s="39"/>
      <c r="H195" s="39"/>
    </row>
    <row r="196" customFormat="false" ht="15" hidden="false" customHeight="false" outlineLevel="0" collapsed="false">
      <c r="A196" s="40"/>
      <c r="B196" s="41"/>
      <c r="C196" s="39" t="str">
        <f aca="false">IF(B196="","",IFERROR(INDEX(Plan!$B$6:$B$60,MATCH(B196,Plan!$A$6:$A$60,0)),"ID not found"))</f>
        <v/>
      </c>
      <c r="D196" s="42"/>
      <c r="E196" s="39"/>
      <c r="F196" s="39"/>
      <c r="G196" s="39"/>
      <c r="H196" s="39"/>
    </row>
    <row r="197" customFormat="false" ht="15" hidden="false" customHeight="false" outlineLevel="0" collapsed="false">
      <c r="A197" s="40"/>
      <c r="B197" s="41"/>
      <c r="C197" s="39" t="str">
        <f aca="false">IF(B197="","",IFERROR(INDEX(Plan!$B$6:$B$60,MATCH(B197,Plan!$A$6:$A$60,0)),"ID not found"))</f>
        <v/>
      </c>
      <c r="D197" s="42"/>
      <c r="E197" s="39"/>
      <c r="F197" s="39"/>
      <c r="G197" s="39"/>
      <c r="H197" s="39"/>
    </row>
    <row r="198" customFormat="false" ht="15" hidden="false" customHeight="false" outlineLevel="0" collapsed="false">
      <c r="A198" s="40"/>
      <c r="B198" s="41"/>
      <c r="C198" s="39" t="str">
        <f aca="false">IF(B198="","",IFERROR(INDEX(Plan!$B$6:$B$60,MATCH(B198,Plan!$A$6:$A$60,0)),"ID not found"))</f>
        <v/>
      </c>
      <c r="D198" s="42"/>
      <c r="E198" s="39"/>
      <c r="F198" s="39"/>
      <c r="G198" s="39"/>
      <c r="H198" s="39"/>
    </row>
    <row r="199" customFormat="false" ht="15" hidden="false" customHeight="false" outlineLevel="0" collapsed="false">
      <c r="A199" s="40"/>
      <c r="B199" s="41"/>
      <c r="C199" s="39" t="str">
        <f aca="false">IF(B199="","",IFERROR(INDEX(Plan!$B$6:$B$60,MATCH(B199,Plan!$A$6:$A$60,0)),"ID not found"))</f>
        <v/>
      </c>
      <c r="D199" s="42"/>
      <c r="E199" s="39"/>
      <c r="F199" s="39"/>
      <c r="G199" s="39"/>
      <c r="H199" s="39"/>
    </row>
    <row r="200" customFormat="false" ht="15" hidden="false" customHeight="false" outlineLevel="0" collapsed="false">
      <c r="A200" s="40"/>
      <c r="B200" s="41"/>
      <c r="C200" s="39" t="str">
        <f aca="false">IF(B200="","",IFERROR(INDEX(Plan!$B$6:$B$60,MATCH(B200,Plan!$A$6:$A$60,0)),"ID not found"))</f>
        <v/>
      </c>
      <c r="D200" s="42"/>
      <c r="E200" s="39"/>
      <c r="F200" s="39"/>
      <c r="G200" s="39"/>
      <c r="H200" s="39"/>
    </row>
  </sheetData>
  <autoFilter ref="A4:H200"/>
  <conditionalFormatting sqref="D5:D200">
    <cfRule type="cellIs" priority="2" operator="equal" aboveAverage="0" equalAverage="0" bottom="0" percent="0" rank="0" text="" dxfId="0">
      <formula>"Yes"</formula>
    </cfRule>
    <cfRule type="cellIs" priority="3" operator="equal" aboveAverage="0" equalAverage="0" bottom="0" percent="0" rank="0" text="" dxfId="1">
      <formula>"Partly"</formula>
    </cfRule>
    <cfRule type="cellIs" priority="4" operator="equal" aboveAverage="0" equalAverage="0" bottom="0" percent="0" rank="0" text="" dxfId="2">
      <formula>"No"</formula>
    </cfRule>
  </conditionalFormatting>
  <dataValidations count="3">
    <dataValidation allowBlank="true" error="Enter a date such as 28/10/2026." errorStyle="stop" errorTitle="Date" operator="greaterThan" showDropDown="false" showErrorMessage="true" showInputMessage="false" sqref="A5:A200" type="date">
      <formula1>44927</formula1>
      <formula2>0</formula2>
    </dataValidation>
    <dataValidation allowBlank="true" error="Choose Yes, Partly or No." errorStyle="stop" errorTitle="Done today?" operator="between" showDropDown="false" showErrorMessage="true" showInputMessage="false" sqref="D5:D200" type="list">
      <formula1>"Yes,Partly,No"</formula1>
      <formula2>0</formula2>
    </dataValidation>
    <dataValidation allowBlank="true" errorStyle="stop" operator="between" showDropDown="false" showErrorMessage="false" showInputMessage="false" sqref="B5:B200" type="list">
      <formula1>Plan!$A$6:$A$60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A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43" t="s">
        <v>188</v>
      </c>
    </row>
    <row r="2" customFormat="false" ht="15" hidden="false" customHeight="false" outlineLevel="0" collapsed="false">
      <c r="A2" s="44" t="s">
        <v>189</v>
      </c>
    </row>
    <row r="3" customFormat="false" ht="15" hidden="false" customHeight="false" outlineLevel="0" collapsed="false">
      <c r="A3" s="43" t="s">
        <v>190</v>
      </c>
    </row>
    <row r="4" customFormat="false" ht="23.85" hidden="false" customHeight="false" outlineLevel="0" collapsed="false">
      <c r="A4" s="44" t="s">
        <v>191</v>
      </c>
    </row>
    <row r="5" customFormat="false" ht="23.85" hidden="false" customHeight="false" outlineLevel="0" collapsed="false">
      <c r="A5" s="44" t="s">
        <v>192</v>
      </c>
    </row>
    <row r="6" customFormat="false" ht="23.85" hidden="false" customHeight="false" outlineLevel="0" collapsed="false">
      <c r="A6" s="44" t="s">
        <v>193</v>
      </c>
    </row>
    <row r="7" customFormat="false" ht="15" hidden="false" customHeight="false" outlineLevel="0" collapsed="false">
      <c r="A7" s="44" t="s">
        <v>194</v>
      </c>
    </row>
    <row r="8" customFormat="false" ht="15" hidden="false" customHeight="false" outlineLevel="0" collapsed="false">
      <c r="A8" s="44"/>
    </row>
    <row r="9" customFormat="false" ht="15" hidden="false" customHeight="false" outlineLevel="0" collapsed="false">
      <c r="A9" s="43" t="s">
        <v>195</v>
      </c>
    </row>
    <row r="10" customFormat="false" ht="23.85" hidden="false" customHeight="false" outlineLevel="0" collapsed="false">
      <c r="A10" s="44" t="s">
        <v>196</v>
      </c>
    </row>
    <row r="11" customFormat="false" ht="15" hidden="false" customHeight="false" outlineLevel="0" collapsed="false">
      <c r="A11" s="44" t="s">
        <v>197</v>
      </c>
    </row>
    <row r="12" customFormat="false" ht="15" hidden="false" customHeight="false" outlineLevel="0" collapsed="false">
      <c r="A12" s="44"/>
    </row>
    <row r="13" customFormat="false" ht="15" hidden="false" customHeight="false" outlineLevel="0" collapsed="false">
      <c r="A13" s="43" t="s">
        <v>198</v>
      </c>
    </row>
    <row r="14" customFormat="false" ht="23.85" hidden="false" customHeight="false" outlineLevel="0" collapsed="false">
      <c r="A14" s="44" t="s">
        <v>199</v>
      </c>
    </row>
    <row r="15" customFormat="false" ht="23.85" hidden="false" customHeight="false" outlineLevel="0" collapsed="false">
      <c r="A15" s="44" t="s">
        <v>200</v>
      </c>
    </row>
    <row r="16" customFormat="false" ht="15" hidden="false" customHeight="false" outlineLevel="0" collapsed="false">
      <c r="A16" s="44"/>
    </row>
    <row r="17" customFormat="false" ht="15" hidden="false" customHeight="false" outlineLevel="0" collapsed="false">
      <c r="A17" s="43" t="s">
        <v>201</v>
      </c>
    </row>
    <row r="18" customFormat="false" ht="23.85" hidden="false" customHeight="false" outlineLevel="0" collapsed="false">
      <c r="A18" s="44" t="s">
        <v>202</v>
      </c>
    </row>
    <row r="19" customFormat="false" ht="23.85" hidden="false" customHeight="false" outlineLevel="0" collapsed="false">
      <c r="A19" s="44" t="s">
        <v>203</v>
      </c>
    </row>
    <row r="20" customFormat="false" ht="15" hidden="false" customHeight="false" outlineLevel="0" collapsed="false">
      <c r="A20" s="44" t="s">
        <v>204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2026-10-28T11:54:06Z</dcterms:created>
  <dc:creator>openpyxl</dc:creator>
  <dc:description/>
  <dc:language>en-US</dc:language>
  <cp:lastModifiedBy/>
  <dcterms:modified xsi:type="dcterms:W3CDTF">2026-10-28T11:54:09Z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